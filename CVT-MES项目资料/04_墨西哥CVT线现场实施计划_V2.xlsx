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计划" sheetId="1" state="visible" r:id="rId3"/>
    <sheet name="甘特（周）" sheetId="2" state="visible" r:id="rId4"/>
    <sheet name="工位签认表" sheetId="3" state="visible" r:id="rId5"/>
    <sheet name="硬件清单" sheetId="4" state="visible" r:id="rId6"/>
    <sheet name="说明与修订" sheetId="5" state="visible" r:id="rId7"/>
  </sheets>
  <definedNames>
    <definedName function="false" hidden="false" localSheetId="2" name="_xlnm.Print_Titles" vbProcedure="false">工位签认表!$1:$2</definedName>
    <definedName function="false" hidden="false" localSheetId="1" name="_xlnm.Print_Titles" vbProcedure="false">'甘特（周）'!$1:$2</definedName>
    <definedName function="false" hidden="false" localSheetId="3" name="_xlnm.Print_Titles" vbProcedure="false">硬件清单!$1:$2</definedName>
    <definedName function="false" hidden="false" localSheetId="0" name="_xlnm.Print_Titles" vbProcedure="false">计划!$1:$4</definedName>
    <definedName function="false" hidden="true" localSheetId="0" name="_xlnm._FilterDatabase" vbProcedure="false">计划!$A$4:$K$43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<sst xmlns="http://schemas.openxmlformats.org/spreadsheetml/2006/main" count="723" uniqueCount="379">
  <si>
    <r>
      <rPr>
        <b val="true"/>
        <sz val="15"/>
        <color rgb="FFFFFFFF"/>
        <rFont val="Noto Sans CJK SC"/>
        <family val="2"/>
      </rPr>
      <t xml:space="preserve">墨西哥</t>
    </r>
    <r>
      <rPr>
        <b val="true"/>
        <sz val="15"/>
        <color rgb="FFFFFFFF"/>
        <rFont val="微软雅黑"/>
        <family val="0"/>
        <charset val="1"/>
      </rPr>
      <t xml:space="preserve">CVT</t>
    </r>
    <r>
      <rPr>
        <b val="true"/>
        <sz val="15"/>
        <color rgb="FFFFFFFF"/>
        <rFont val="Noto Sans CJK SC"/>
        <family val="2"/>
      </rPr>
      <t xml:space="preserve">总成装配线</t>
    </r>
    <r>
      <rPr>
        <b val="true"/>
        <sz val="15"/>
        <color rgb="FFFFFFFF"/>
        <rFont val="微软雅黑"/>
        <family val="0"/>
        <charset val="1"/>
      </rPr>
      <t xml:space="preserve">MES</t>
    </r>
    <r>
      <rPr>
        <b val="true"/>
        <sz val="15"/>
        <color rgb="FFFFFFFF"/>
        <rFont val="Noto Sans CJK SC"/>
        <family val="2"/>
      </rPr>
      <t xml:space="preserve">系统 — 现场实施计划表</t>
    </r>
  </si>
  <si>
    <r>
      <rPr>
        <sz val="9"/>
        <rFont val="Noto Sans CJK SC"/>
        <family val="2"/>
      </rPr>
      <t xml:space="preserve">项目：</t>
    </r>
    <r>
      <rPr>
        <sz val="9"/>
        <rFont val="微软雅黑"/>
        <family val="0"/>
        <charset val="1"/>
      </rPr>
      <t xml:space="preserve">CVT</t>
    </r>
    <r>
      <rPr>
        <sz val="9"/>
        <rFont val="Noto Sans CJK SC"/>
        <family val="2"/>
      </rPr>
      <t xml:space="preserve">总成装配线</t>
    </r>
    <r>
      <rPr>
        <sz val="9"/>
        <rFont val="微软雅黑"/>
        <family val="0"/>
        <charset val="1"/>
      </rPr>
      <t xml:space="preserve">MES</t>
    </r>
    <r>
      <rPr>
        <sz val="9"/>
        <rFont val="Noto Sans CJK SC"/>
        <family val="2"/>
      </rPr>
      <t xml:space="preserve">系统（墨西哥）   合同编号：</t>
    </r>
    <r>
      <rPr>
        <sz val="9"/>
        <rFont val="微软雅黑"/>
        <family val="0"/>
        <charset val="1"/>
      </rPr>
      <t xml:space="preserve">CDT-ZB251022-EPHOD-CVT-MES-01   </t>
    </r>
    <r>
      <rPr>
        <sz val="9"/>
        <rFont val="Noto Sans CJK SC"/>
        <family val="2"/>
      </rPr>
      <t xml:space="preserve">甲方：重庆以弗德智能装备有限公司   乙方：上海递缇智能系统有限公司</t>
    </r>
  </si>
  <si>
    <r>
      <rPr>
        <b val="true"/>
        <sz val="9"/>
        <rFont val="Noto Sans CJK SC"/>
        <family val="2"/>
      </rPr>
      <t xml:space="preserve">版本 </t>
    </r>
    <r>
      <rPr>
        <b val="true"/>
        <sz val="9"/>
        <rFont val="微软雅黑"/>
        <family val="0"/>
        <charset val="1"/>
      </rPr>
      <t xml:space="preserve">V2.3</t>
    </r>
    <r>
      <rPr>
        <b val="true"/>
        <sz val="9"/>
        <rFont val="Noto Sans CJK SC"/>
        <family val="2"/>
      </rPr>
      <t xml:space="preserve">（现场实施版）   编制：上海递缇项目管理   计划开始日：见“说明与修订”页（</t>
    </r>
    <r>
      <rPr>
        <b val="true"/>
        <sz val="9"/>
        <rFont val="微软雅黑"/>
        <family val="0"/>
        <charset val="1"/>
      </rPr>
      <t xml:space="preserve">B5</t>
    </r>
    <r>
      <rPr>
        <b val="true"/>
        <sz val="9"/>
        <rFont val="Noto Sans CJK SC"/>
        <family val="2"/>
      </rPr>
      <t xml:space="preserve">，可一键联动）   现场实施：</t>
    </r>
    <r>
      <rPr>
        <b val="true"/>
        <sz val="9"/>
        <rFont val="微软雅黑"/>
        <family val="0"/>
        <charset val="1"/>
      </rPr>
      <t xml:space="preserve">38</t>
    </r>
    <r>
      <rPr>
        <b val="true"/>
        <sz val="9"/>
        <rFont val="Noto Sans CJK SC"/>
        <family val="2"/>
      </rPr>
      <t xml:space="preserve">天   远程调试：</t>
    </r>
    <r>
      <rPr>
        <b val="true"/>
        <sz val="9"/>
        <rFont val="微软雅黑"/>
        <family val="0"/>
        <charset val="1"/>
      </rPr>
      <t xml:space="preserve">1</t>
    </r>
    <r>
      <rPr>
        <b val="true"/>
        <sz val="9"/>
        <rFont val="Noto Sans CJK SC"/>
        <family val="2"/>
      </rPr>
      <t xml:space="preserve">人</t>
    </r>
    <r>
      <rPr>
        <b val="true"/>
        <sz val="9"/>
        <rFont val="微软雅黑"/>
        <family val="0"/>
        <charset val="1"/>
      </rPr>
      <t xml:space="preserve">×1</t>
    </r>
    <r>
      <rPr>
        <b val="true"/>
        <sz val="9"/>
        <rFont val="Noto Sans CJK SC"/>
        <family val="2"/>
      </rPr>
      <t xml:space="preserve">个月   试运行：</t>
    </r>
    <r>
      <rPr>
        <b val="true"/>
        <sz val="9"/>
        <rFont val="微软雅黑"/>
        <family val="0"/>
        <charset val="1"/>
      </rPr>
      <t xml:space="preserve">3</t>
    </r>
    <r>
      <rPr>
        <b val="true"/>
        <sz val="9"/>
        <rFont val="Noto Sans CJK SC"/>
        <family val="2"/>
      </rPr>
      <t xml:space="preserve">个月或</t>
    </r>
    <r>
      <rPr>
        <b val="true"/>
        <sz val="9"/>
        <rFont val="微软雅黑"/>
        <family val="0"/>
        <charset val="1"/>
      </rPr>
      <t xml:space="preserve">1000</t>
    </r>
    <r>
      <rPr>
        <b val="true"/>
        <sz val="9"/>
        <rFont val="Noto Sans CJK SC"/>
        <family val="2"/>
      </rPr>
      <t xml:space="preserve">台</t>
    </r>
  </si>
  <si>
    <t xml:space="preserve">阶段</t>
  </si>
  <si>
    <t xml:space="preserve">序号</t>
  </si>
  <si>
    <t xml:space="preserve">工作内容</t>
  </si>
  <si>
    <r>
      <rPr>
        <b val="true"/>
        <sz val="10"/>
        <rFont val="Noto Sans CJK SC"/>
        <family val="2"/>
      </rPr>
      <t xml:space="preserve">周期
</t>
    </r>
    <r>
      <rPr>
        <b val="true"/>
        <sz val="10"/>
        <rFont val="微软雅黑"/>
        <family val="0"/>
        <charset val="1"/>
      </rPr>
      <t xml:space="preserve">(Day)</t>
    </r>
  </si>
  <si>
    <t xml:space="preserve">计划开始</t>
  </si>
  <si>
    <t xml:space="preserve">计划完成</t>
  </si>
  <si>
    <t xml:space="preserve">负责人</t>
  </si>
  <si>
    <t xml:space="preserve">责任方</t>
  </si>
  <si>
    <t xml:space="preserve">状态描述</t>
  </si>
  <si>
    <r>
      <rPr>
        <b val="true"/>
        <sz val="10"/>
        <rFont val="Noto Sans CJK SC"/>
        <family val="2"/>
      </rPr>
      <t xml:space="preserve">前置条件 </t>
    </r>
    <r>
      <rPr>
        <b val="true"/>
        <sz val="10"/>
        <rFont val="微软雅黑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依赖</t>
    </r>
  </si>
  <si>
    <t xml:space="preserve">备注（差异与风险）</t>
  </si>
  <si>
    <t xml:space="preserve">启动与前置条件确认</t>
  </si>
  <si>
    <r>
      <rPr>
        <sz val="9"/>
        <rFont val="Noto Sans CJK SC"/>
        <family val="2"/>
      </rPr>
      <t xml:space="preserve">设备到货清关、开箱验货及</t>
    </r>
    <r>
      <rPr>
        <sz val="9"/>
        <rFont val="微软雅黑"/>
        <family val="0"/>
        <charset val="1"/>
      </rPr>
      <t xml:space="preserve">IT</t>
    </r>
    <r>
      <rPr>
        <sz val="9"/>
        <rFont val="Noto Sans CJK SC"/>
        <family val="2"/>
      </rPr>
      <t xml:space="preserve">环境确认（网段、</t>
    </r>
    <r>
      <rPr>
        <sz val="9"/>
        <rFont val="微软雅黑"/>
        <family val="0"/>
        <charset val="1"/>
      </rPr>
      <t xml:space="preserve">IP</t>
    </r>
    <r>
      <rPr>
        <sz val="9"/>
        <rFont val="Noto Sans CJK SC"/>
        <family val="2"/>
      </rPr>
      <t xml:space="preserve">、防火墙、端口、远程工具）</t>
    </r>
  </si>
  <si>
    <t xml:space="preserve">递缇项目经理</t>
  </si>
  <si>
    <t xml:space="preserve">双方</t>
  </si>
  <si>
    <t xml:space="preserve">待客户确认</t>
  </si>
  <si>
    <t xml:space="preserve">设备到达墨西哥并完成清关，具备开箱验收条件</t>
  </si>
  <si>
    <r>
      <rPr>
        <sz val="9"/>
        <rFont val="Noto Sans CJK SC"/>
        <family val="2"/>
      </rPr>
      <t xml:space="preserve">扫码枪实到</t>
    </r>
    <r>
      <rPr>
        <sz val="9"/>
        <rFont val="微软雅黑"/>
        <family val="0"/>
        <charset val="1"/>
      </rPr>
      <t xml:space="preserve">10</t>
    </r>
    <r>
      <rPr>
        <sz val="9"/>
        <rFont val="Noto Sans CJK SC"/>
        <family val="2"/>
      </rPr>
      <t xml:space="preserve">把（缺</t>
    </r>
    <r>
      <rPr>
        <sz val="9"/>
        <rFont val="微软雅黑"/>
        <family val="0"/>
        <charset val="1"/>
      </rPr>
      <t xml:space="preserve">5</t>
    </r>
    <r>
      <rPr>
        <sz val="9"/>
        <rFont val="Noto Sans CJK SC"/>
        <family val="2"/>
      </rPr>
      <t xml:space="preserve">把）；一体机后到；清关由甲方负责</t>
    </r>
  </si>
  <si>
    <t xml:space="preserve">现场硬件与网络环境搭建</t>
  </si>
  <si>
    <r>
      <rPr>
        <sz val="9"/>
        <rFont val="Noto Sans CJK SC"/>
        <family val="2"/>
      </rPr>
      <t xml:space="preserve">服务器机柜就位，安装服务器、显示器、键鼠、</t>
    </r>
    <r>
      <rPr>
        <sz val="9"/>
        <rFont val="微软雅黑"/>
        <family val="0"/>
        <charset val="1"/>
      </rPr>
      <t xml:space="preserve">UPS</t>
    </r>
    <r>
      <rPr>
        <sz val="9"/>
        <rFont val="Noto Sans CJK SC"/>
        <family val="2"/>
      </rPr>
      <t xml:space="preserve">、交换机</t>
    </r>
  </si>
  <si>
    <t xml:space="preserve">以弗德安装组</t>
  </si>
  <si>
    <r>
      <rPr>
        <sz val="9"/>
        <rFont val="Noto Sans CJK SC"/>
        <family val="2"/>
      </rPr>
      <t xml:space="preserve">以弗德（报价含</t>
    </r>
    <r>
      <rPr>
        <sz val="9"/>
        <rFont val="微软雅黑"/>
        <family val="0"/>
        <charset val="1"/>
      </rPr>
      <t xml:space="preserve">2</t>
    </r>
    <r>
      <rPr>
        <sz val="9"/>
        <rFont val="Noto Sans CJK SC"/>
        <family val="2"/>
      </rPr>
      <t xml:space="preserve">人</t>
    </r>
    <r>
      <rPr>
        <sz val="9"/>
        <rFont val="微软雅黑"/>
        <family val="0"/>
        <charset val="1"/>
      </rPr>
      <t xml:space="preserve">8</t>
    </r>
    <r>
      <rPr>
        <sz val="9"/>
        <rFont val="Noto Sans CJK SC"/>
        <family val="2"/>
      </rPr>
      <t xml:space="preserve">天）</t>
    </r>
  </si>
  <si>
    <t xml:space="preserve">未开始</t>
  </si>
  <si>
    <r>
      <rPr>
        <sz val="9"/>
        <rFont val="Noto Sans CJK SC"/>
        <family val="2"/>
      </rPr>
      <t xml:space="preserve">机柜、服务器、</t>
    </r>
    <r>
      <rPr>
        <sz val="9"/>
        <rFont val="微软雅黑"/>
        <family val="0"/>
        <charset val="1"/>
      </rPr>
      <t xml:space="preserve">UPS</t>
    </r>
    <r>
      <rPr>
        <sz val="9"/>
        <rFont val="Noto Sans CJK SC"/>
        <family val="2"/>
      </rPr>
      <t xml:space="preserve">、交换机到位，供电正常</t>
    </r>
  </si>
  <si>
    <t xml:space="preserve">交换机、一体机、扫码枪、大屏、支架、辅材由以弗德提供</t>
  </si>
  <si>
    <r>
      <rPr>
        <sz val="9"/>
        <rFont val="Noto Sans CJK SC"/>
        <family val="2"/>
      </rPr>
      <t xml:space="preserve">服务器上电，检查硬件状态、硬盘、内存、网口、</t>
    </r>
    <r>
      <rPr>
        <sz val="9"/>
        <rFont val="微软雅黑"/>
        <family val="0"/>
        <charset val="1"/>
      </rPr>
      <t xml:space="preserve">RAID</t>
    </r>
  </si>
  <si>
    <t xml:space="preserve">递缇实施工程师</t>
  </si>
  <si>
    <t xml:space="preserve">递缇</t>
  </si>
  <si>
    <t xml:space="preserve">服务器到位，供电正常</t>
  </si>
  <si>
    <r>
      <rPr>
        <sz val="9"/>
        <rFont val="Noto Sans CJK SC"/>
        <family val="2"/>
      </rPr>
      <t xml:space="preserve">机房接地与</t>
    </r>
    <r>
      <rPr>
        <sz val="9"/>
        <rFont val="微软雅黑"/>
        <family val="0"/>
        <charset val="1"/>
      </rPr>
      <t xml:space="preserve">UPS</t>
    </r>
    <r>
      <rPr>
        <sz val="9"/>
        <rFont val="Noto Sans CJK SC"/>
        <family val="2"/>
      </rPr>
      <t xml:space="preserve">带载需先确认</t>
    </r>
  </si>
  <si>
    <r>
      <rPr>
        <b val="true"/>
        <sz val="9"/>
        <rFont val="Noto Sans CJK SC"/>
        <family val="2"/>
      </rPr>
      <t xml:space="preserve">服务器系统与数据库复核（国内已安装）：核对主机名、固定</t>
    </r>
    <r>
      <rPr>
        <b val="true"/>
        <sz val="9"/>
        <rFont val="微软雅黑"/>
        <family val="0"/>
        <charset val="1"/>
      </rPr>
      <t xml:space="preserve">IP</t>
    </r>
    <r>
      <rPr>
        <b val="true"/>
        <sz val="9"/>
        <rFont val="Noto Sans CJK SC"/>
        <family val="2"/>
      </rPr>
      <t xml:space="preserve">、防火墙、远程桌面、实例、账号、端口、备份策略；异常时按镜像或配置基线恢复</t>
    </r>
  </si>
  <si>
    <t xml:space="preserve">服务器硬件自检正常；国内已完成系统与数据库安装，具备镜像或配置基线</t>
  </si>
  <si>
    <r>
      <rPr>
        <b val="true"/>
        <sz val="9"/>
        <rFont val="Noto Sans CJK SC"/>
        <family val="2"/>
      </rPr>
      <t xml:space="preserve">★国内已调过一轮，原“装</t>
    </r>
    <r>
      <rPr>
        <b val="true"/>
        <sz val="9"/>
        <rFont val="微软雅黑"/>
        <family val="0"/>
        <charset val="1"/>
      </rPr>
      <t xml:space="preserve">Windows Server”“</t>
    </r>
    <r>
      <rPr>
        <b val="true"/>
        <sz val="9"/>
        <rFont val="Noto Sans CJK SC"/>
        <family val="2"/>
      </rPr>
      <t xml:space="preserve">装</t>
    </r>
    <r>
      <rPr>
        <b val="true"/>
        <sz val="9"/>
        <rFont val="微软雅黑"/>
        <family val="0"/>
        <charset val="1"/>
      </rPr>
      <t xml:space="preserve">SQL Server”</t>
    </r>
    <r>
      <rPr>
        <b val="true"/>
        <sz val="9"/>
        <rFont val="Noto Sans CJK SC"/>
        <family val="2"/>
      </rPr>
      <t xml:space="preserve">两条合并为复核；若硬件变更再重新安装</t>
    </r>
  </si>
  <si>
    <r>
      <rPr>
        <sz val="9"/>
        <rFont val="Noto Sans CJK SC"/>
        <family val="2"/>
      </rPr>
      <t xml:space="preserve">配置网络交换机，划分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确认</t>
    </r>
    <r>
      <rPr>
        <sz val="9"/>
        <rFont val="微软雅黑"/>
        <family val="0"/>
        <charset val="1"/>
      </rPr>
      <t xml:space="preserve">MES</t>
    </r>
    <r>
      <rPr>
        <sz val="9"/>
        <rFont val="Noto Sans CJK SC"/>
        <family val="2"/>
      </rPr>
      <t xml:space="preserve">网段，连接服务器、工位一体机、大屏、</t>
    </r>
    <r>
      <rPr>
        <sz val="9"/>
        <rFont val="微软雅黑"/>
        <family val="0"/>
        <charset val="1"/>
      </rPr>
      <t xml:space="preserve">PLC</t>
    </r>
    <r>
      <rPr>
        <sz val="9"/>
        <rFont val="Noto Sans CJK SC"/>
        <family val="2"/>
      </rPr>
      <t xml:space="preserve">及设备</t>
    </r>
  </si>
  <si>
    <t xml:space="preserve">甲方提供交换机，双方配置</t>
  </si>
  <si>
    <t xml:space="preserve">交换机到位，最终用户网络参数确认</t>
  </si>
  <si>
    <t xml:space="preserve">交换机为甲方供货，需甲方开放配置权限</t>
  </si>
  <si>
    <r>
      <rPr>
        <sz val="9"/>
        <rFont val="Noto Sans CJK SC"/>
        <family val="2"/>
      </rPr>
      <t xml:space="preserve">安装</t>
    </r>
    <r>
      <rPr>
        <sz val="9"/>
        <rFont val="微软雅黑"/>
        <family val="0"/>
        <charset val="1"/>
      </rPr>
      <t xml:space="preserve">15</t>
    </r>
    <r>
      <rPr>
        <sz val="9"/>
        <rFont val="Noto Sans CJK SC"/>
        <family val="2"/>
      </rPr>
      <t xml:space="preserve">台工位一体机及支架，上电，配置网络</t>
    </r>
  </si>
  <si>
    <r>
      <rPr>
        <sz val="9"/>
        <rFont val="Noto Sans CJK SC"/>
        <family val="2"/>
      </rPr>
      <t xml:space="preserve">以弗德（一体机</t>
    </r>
    <r>
      <rPr>
        <sz val="9"/>
        <rFont val="微软雅黑"/>
        <family val="0"/>
        <charset val="1"/>
      </rPr>
      <t xml:space="preserve">15</t>
    </r>
    <r>
      <rPr>
        <sz val="9"/>
        <rFont val="Noto Sans CJK SC"/>
        <family val="2"/>
      </rPr>
      <t xml:space="preserve">台已到货）</t>
    </r>
  </si>
  <si>
    <t xml:space="preserve">一体机、支架到位，工位供电与网络到位</t>
  </si>
  <si>
    <t xml:space="preserve">★一体机原未发运、后补发到货，集中安装，窗口后移</t>
  </si>
  <si>
    <r>
      <rPr>
        <b val="true"/>
        <sz val="9"/>
        <rFont val="Noto Sans CJK SC"/>
        <family val="2"/>
      </rPr>
      <t xml:space="preserve">安装并调试扫码枪：到场</t>
    </r>
    <r>
      <rPr>
        <b val="true"/>
        <sz val="9"/>
        <rFont val="微软雅黑"/>
        <family val="0"/>
        <charset val="1"/>
      </rPr>
      <t xml:space="preserve">10</t>
    </r>
    <r>
      <rPr>
        <b val="true"/>
        <sz val="9"/>
        <rFont val="Noto Sans CJK SC"/>
        <family val="2"/>
      </rPr>
      <t xml:space="preserve">把有线</t>
    </r>
    <r>
      <rPr>
        <b val="true"/>
        <sz val="9"/>
        <rFont val="微软雅黑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无线连接、扫码识别、条码类型；缺口</t>
    </r>
    <r>
      <rPr>
        <b val="true"/>
        <sz val="9"/>
        <rFont val="微软雅黑"/>
        <family val="0"/>
        <charset val="1"/>
      </rPr>
      <t xml:space="preserve">5</t>
    </r>
    <r>
      <rPr>
        <b val="true"/>
        <sz val="9"/>
        <rFont val="Noto Sans CJK SC"/>
        <family val="2"/>
      </rPr>
      <t xml:space="preserve">把按借用</t>
    </r>
    <r>
      <rPr>
        <b val="true"/>
        <sz val="9"/>
        <rFont val="微软雅黑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串口枪</t>
    </r>
    <r>
      <rPr>
        <b val="true"/>
        <sz val="9"/>
        <rFont val="微软雅黑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补发处置</t>
    </r>
  </si>
  <si>
    <r>
      <rPr>
        <b val="true"/>
        <sz val="9"/>
        <rFont val="Noto Sans CJK SC"/>
        <family val="2"/>
      </rPr>
      <t xml:space="preserve">递缇</t>
    </r>
    <r>
      <rPr>
        <b val="true"/>
        <sz val="9"/>
        <rFont val="微软雅黑"/>
        <family val="0"/>
        <charset val="1"/>
      </rPr>
      <t xml:space="preserve">+</t>
    </r>
    <r>
      <rPr>
        <b val="true"/>
        <sz val="9"/>
        <rFont val="Noto Sans CJK SC"/>
        <family val="2"/>
      </rPr>
      <t xml:space="preserve">甲方</t>
    </r>
  </si>
  <si>
    <t xml:space="preserve">扫码枪到位，工位一体机系统就绪</t>
  </si>
  <si>
    <r>
      <rPr>
        <b val="true"/>
        <sz val="9"/>
        <rFont val="Noto Sans CJK SC"/>
        <family val="2"/>
      </rPr>
      <t xml:space="preserve">★实到</t>
    </r>
    <r>
      <rPr>
        <b val="true"/>
        <sz val="9"/>
        <rFont val="微软雅黑"/>
        <family val="0"/>
        <charset val="1"/>
      </rPr>
      <t xml:space="preserve">10</t>
    </r>
    <r>
      <rPr>
        <b val="true"/>
        <sz val="9"/>
        <rFont val="Noto Sans CJK SC"/>
        <family val="2"/>
      </rPr>
      <t xml:space="preserve">把，缺</t>
    </r>
    <r>
      <rPr>
        <b val="true"/>
        <sz val="9"/>
        <rFont val="微软雅黑"/>
        <family val="0"/>
        <charset val="1"/>
      </rPr>
      <t xml:space="preserve">5</t>
    </r>
    <r>
      <rPr>
        <b val="true"/>
        <sz val="9"/>
        <rFont val="Noto Sans CJK SC"/>
        <family val="2"/>
      </rPr>
      <t xml:space="preserve">把；斑马清关受阻，建议递缇人员随行带</t>
    </r>
    <r>
      <rPr>
        <b val="true"/>
        <sz val="9"/>
        <rFont val="微软雅黑"/>
        <family val="0"/>
        <charset val="1"/>
      </rPr>
      <t xml:space="preserve">1</t>
    </r>
    <r>
      <rPr>
        <b val="true"/>
        <sz val="9"/>
        <rFont val="Noto Sans CJK SC"/>
        <family val="2"/>
      </rPr>
      <t xml:space="preserve">把串口枪，其余向其他工位借用或本地采购</t>
    </r>
  </si>
  <si>
    <r>
      <rPr>
        <sz val="9"/>
        <rFont val="Noto Sans CJK SC"/>
        <family val="2"/>
      </rPr>
      <t xml:space="preserve">安装</t>
    </r>
    <r>
      <rPr>
        <sz val="9"/>
        <rFont val="微软雅黑"/>
        <family val="0"/>
        <charset val="1"/>
      </rPr>
      <t xml:space="preserve">75</t>
    </r>
    <r>
      <rPr>
        <sz val="9"/>
        <rFont val="Noto Sans CJK SC"/>
        <family val="2"/>
      </rPr>
      <t xml:space="preserve">寸大屏电视</t>
    </r>
    <r>
      <rPr>
        <sz val="9"/>
        <rFont val="微软雅黑"/>
        <family val="0"/>
        <charset val="1"/>
      </rPr>
      <t xml:space="preserve">+</t>
    </r>
    <r>
      <rPr>
        <sz val="9"/>
        <rFont val="Noto Sans CJK SC"/>
        <family val="2"/>
      </rPr>
      <t xml:space="preserve">盒式</t>
    </r>
    <r>
      <rPr>
        <sz val="9"/>
        <rFont val="微软雅黑"/>
        <family val="0"/>
        <charset val="1"/>
      </rPr>
      <t xml:space="preserve">PC</t>
    </r>
    <r>
      <rPr>
        <sz val="9"/>
        <rFont val="Noto Sans CJK SC"/>
        <family val="2"/>
      </rPr>
      <t xml:space="preserve">，配置浏览器、网络、看板显示</t>
    </r>
  </si>
  <si>
    <t xml:space="preserve">以弗德</t>
  </si>
  <si>
    <r>
      <rPr>
        <sz val="9"/>
        <rFont val="Noto Sans CJK SC"/>
        <family val="2"/>
      </rPr>
      <t xml:space="preserve">大屏、盒式</t>
    </r>
    <r>
      <rPr>
        <sz val="9"/>
        <rFont val="微软雅黑"/>
        <family val="0"/>
        <charset val="1"/>
      </rPr>
      <t xml:space="preserve">PC</t>
    </r>
    <r>
      <rPr>
        <sz val="9"/>
        <rFont val="Noto Sans CJK SC"/>
        <family val="2"/>
      </rPr>
      <t xml:space="preserve">到位，网络连通</t>
    </r>
  </si>
  <si>
    <t xml:space="preserve">检查桥架、网线、电源线等安装辅材，确认工位网络与供电稳定</t>
  </si>
  <si>
    <t xml:space="preserve">辅材到位，现场施工完成</t>
  </si>
  <si>
    <r>
      <rPr>
        <b val="true"/>
        <sz val="10"/>
        <rFont val="微软雅黑"/>
        <family val="0"/>
        <charset val="1"/>
      </rPr>
      <t xml:space="preserve">MES</t>
    </r>
    <r>
      <rPr>
        <b val="true"/>
        <sz val="10"/>
        <rFont val="Noto Sans CJK SC"/>
        <family val="2"/>
      </rPr>
      <t xml:space="preserve">软件部署与基础配置</t>
    </r>
  </si>
  <si>
    <r>
      <rPr>
        <sz val="9"/>
        <rFont val="Noto Sans CJK SC"/>
        <family val="2"/>
      </rPr>
      <t xml:space="preserve">部署</t>
    </r>
    <r>
      <rPr>
        <sz val="9"/>
        <rFont val="微软雅黑"/>
        <family val="0"/>
        <charset val="1"/>
      </rPr>
      <t xml:space="preserve">MES</t>
    </r>
    <r>
      <rPr>
        <sz val="9"/>
        <rFont val="Noto Sans CJK SC"/>
        <family val="2"/>
      </rPr>
      <t xml:space="preserve">服务端：软件包、组件、依赖环境，初始化数据库</t>
    </r>
  </si>
  <si>
    <r>
      <rPr>
        <sz val="9"/>
        <rFont val="Noto Sans CJK SC"/>
        <family val="2"/>
      </rPr>
      <t xml:space="preserve">服务器系统、</t>
    </r>
    <r>
      <rPr>
        <sz val="9"/>
        <rFont val="微软雅黑"/>
        <family val="0"/>
        <charset val="1"/>
      </rPr>
      <t xml:space="preserve">SQL Server</t>
    </r>
    <r>
      <rPr>
        <sz val="9"/>
        <rFont val="Noto Sans CJK SC"/>
        <family val="2"/>
      </rPr>
      <t xml:space="preserve">就绪</t>
    </r>
  </si>
  <si>
    <r>
      <rPr>
        <sz val="9"/>
        <rFont val="Noto Sans CJK SC"/>
        <family val="2"/>
      </rPr>
      <t xml:space="preserve">部署工控机客户端到</t>
    </r>
    <r>
      <rPr>
        <sz val="9"/>
        <rFont val="微软雅黑"/>
        <family val="0"/>
        <charset val="1"/>
      </rPr>
      <t xml:space="preserve">15</t>
    </r>
    <r>
      <rPr>
        <sz val="9"/>
        <rFont val="Noto Sans CJK SC"/>
        <family val="2"/>
      </rPr>
      <t xml:space="preserve">个工位一体机，配置启动项、客户端参数</t>
    </r>
  </si>
  <si>
    <t xml:space="preserve">工位一体机系统与网络就绪</t>
  </si>
  <si>
    <t xml:space="preserve">一体机后到货，客户端镜像建议用同型号测试机提前验证</t>
  </si>
  <si>
    <r>
      <rPr>
        <sz val="9"/>
        <rFont val="Noto Sans CJK SC"/>
        <family val="2"/>
      </rPr>
      <t xml:space="preserve">基础数据与工艺建模（一次性完成）：系统语言中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西切换、用户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角色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权限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员工与工位技能；主动轮、从动轮产品型号与工艺参数（组件、厂商、重量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扭力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动平衡上下限）；工艺路线、工序、</t>
    </r>
    <r>
      <rPr>
        <sz val="9"/>
        <rFont val="微软雅黑"/>
        <family val="0"/>
        <charset val="1"/>
      </rPr>
      <t xml:space="preserve">15</t>
    </r>
    <r>
      <rPr>
        <sz val="9"/>
        <rFont val="Noto Sans CJK SC"/>
        <family val="2"/>
      </rPr>
      <t xml:space="preserve">工位启用与干涉跳过；电子作业指导（</t>
    </r>
    <r>
      <rPr>
        <sz val="9"/>
        <rFont val="微软雅黑"/>
        <family val="0"/>
        <charset val="1"/>
      </rPr>
      <t xml:space="preserve">PDM</t>
    </r>
    <r>
      <rPr>
        <sz val="9"/>
        <rFont val="Noto Sans CJK SC"/>
        <family val="2"/>
      </rPr>
      <t xml:space="preserve">图、预装提示、按车型切换）；拧紧工艺配方（枪、程序号、数量、不合格次数、使能）</t>
    </r>
  </si>
  <si>
    <r>
      <rPr>
        <sz val="9"/>
        <rFont val="微软雅黑"/>
        <family val="0"/>
        <charset val="1"/>
      </rPr>
      <t xml:space="preserve">MES</t>
    </r>
    <r>
      <rPr>
        <sz val="9"/>
        <rFont val="Noto Sans CJK SC"/>
        <family val="2"/>
      </rPr>
      <t xml:space="preserve">服务端部署完成；甲方提供组织架构、主动轮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从动轮工艺参数、</t>
    </r>
    <r>
      <rPr>
        <sz val="9"/>
        <rFont val="微软雅黑"/>
        <family val="0"/>
        <charset val="1"/>
      </rPr>
      <t xml:space="preserve">PDM</t>
    </r>
    <r>
      <rPr>
        <sz val="9"/>
        <rFont val="Noto Sans CJK SC"/>
        <family val="2"/>
      </rPr>
      <t xml:space="preserve">图与作业指导书</t>
    </r>
  </si>
  <si>
    <r>
      <rPr>
        <sz val="9"/>
        <rFont val="Noto Sans CJK SC"/>
        <family val="2"/>
      </rPr>
      <t xml:space="preserve">原</t>
    </r>
    <r>
      <rPr>
        <sz val="9"/>
        <rFont val="微软雅黑"/>
        <family val="0"/>
        <charset val="1"/>
      </rPr>
      <t xml:space="preserve">6</t>
    </r>
    <r>
      <rPr>
        <sz val="9"/>
        <rFont val="Noto Sans CJK SC"/>
        <family val="2"/>
      </rPr>
      <t xml:space="preserve">条（语言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权限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主动轮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从动轮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工艺路线</t>
    </r>
    <r>
      <rPr>
        <sz val="9"/>
        <rFont val="微软雅黑"/>
        <family val="0"/>
        <charset val="1"/>
      </rPr>
      <t xml:space="preserve">/ESOP/</t>
    </r>
    <r>
      <rPr>
        <sz val="9"/>
        <rFont val="Noto Sans CJK SC"/>
        <family val="2"/>
      </rPr>
      <t xml:space="preserve">拧紧）合并为</t>
    </r>
    <r>
      <rPr>
        <sz val="9"/>
        <rFont val="微软雅黑"/>
        <family val="0"/>
        <charset val="1"/>
      </rPr>
      <t xml:space="preserve">1</t>
    </r>
    <r>
      <rPr>
        <sz val="9"/>
        <rFont val="Noto Sans CJK SC"/>
        <family val="2"/>
      </rPr>
      <t xml:space="preserve">个工作包，按产品型号整体建模、一次校验</t>
    </r>
  </si>
  <si>
    <r>
      <rPr>
        <sz val="9"/>
        <rFont val="Noto Sans CJK SC"/>
        <family val="2"/>
      </rPr>
      <t xml:space="preserve">业务规则与报表看板配置：条码规则与标签模板、上线打印；订单管理（生产计划、工单、编号规则、终端客户）；质量报表、</t>
    </r>
    <r>
      <rPr>
        <sz val="9"/>
        <rFont val="微软雅黑"/>
        <family val="0"/>
        <charset val="1"/>
      </rPr>
      <t xml:space="preserve">SPC</t>
    </r>
    <r>
      <rPr>
        <sz val="9"/>
        <rFont val="Noto Sans CJK SC"/>
        <family val="2"/>
      </rPr>
      <t xml:space="preserve">、电子看板、日志与追溯；</t>
    </r>
    <r>
      <rPr>
        <sz val="9"/>
        <rFont val="微软雅黑"/>
        <family val="0"/>
        <charset val="1"/>
      </rPr>
      <t xml:space="preserve">MES-SAP/PLC </t>
    </r>
    <r>
      <rPr>
        <sz val="9"/>
        <rFont val="Noto Sans CJK SC"/>
        <family val="2"/>
      </rPr>
      <t xml:space="preserve">预留接口</t>
    </r>
  </si>
  <si>
    <t xml:space="preserve">基础数据与工艺建模完成；条码规则、报表格式、看板内容确认</t>
  </si>
  <si>
    <r>
      <rPr>
        <sz val="9"/>
        <rFont val="Noto Sans CJK SC"/>
        <family val="2"/>
      </rPr>
      <t xml:space="preserve">原</t>
    </r>
    <r>
      <rPr>
        <sz val="9"/>
        <rFont val="微软雅黑"/>
        <family val="0"/>
        <charset val="1"/>
      </rPr>
      <t xml:space="preserve">5</t>
    </r>
    <r>
      <rPr>
        <sz val="9"/>
        <rFont val="Noto Sans CJK SC"/>
        <family val="2"/>
      </rPr>
      <t xml:space="preserve">条（条码规则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订单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报表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看板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预留接口）合并；报表与看板样式需甲方确认</t>
    </r>
  </si>
  <si>
    <r>
      <rPr>
        <sz val="9"/>
        <rFont val="Noto Sans CJK SC"/>
        <family val="2"/>
      </rPr>
      <t xml:space="preserve">上线打码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标签打印统一调试（全部硬件上电、标签模板配置完成后进行）：标签模板、条码规则、总成二维码打印</t>
    </r>
  </si>
  <si>
    <t xml:space="preserve">甲方提供打码设备</t>
  </si>
  <si>
    <t xml:space="preserve">一体机、扫码枪、大屏全部上电且网络连通；打码设备到位、标签模板配置完成</t>
  </si>
  <si>
    <t xml:space="preserve">★独立保留：依赖硬件上电与甲方打码设备，不并入配置包；合同仅含标签打印与条码规则</t>
  </si>
  <si>
    <r>
      <rPr>
        <sz val="9"/>
        <rFont val="Noto Sans CJK SC"/>
        <family val="2"/>
      </rPr>
      <t xml:space="preserve">配置设备采集接口：伺服压机</t>
    </r>
    <r>
      <rPr>
        <sz val="9"/>
        <rFont val="微软雅黑"/>
        <family val="0"/>
        <charset val="1"/>
      </rPr>
      <t xml:space="preserve">5</t>
    </r>
    <r>
      <rPr>
        <sz val="9"/>
        <rFont val="Noto Sans CJK SC"/>
        <family val="2"/>
      </rPr>
      <t xml:space="preserve">台、</t>
    </r>
    <r>
      <rPr>
        <sz val="9"/>
        <rFont val="微软雅黑"/>
        <family val="0"/>
        <charset val="1"/>
      </rPr>
      <t xml:space="preserve">ATLAS</t>
    </r>
    <r>
      <rPr>
        <sz val="9"/>
        <rFont val="Noto Sans CJK SC"/>
        <family val="2"/>
      </rPr>
      <t xml:space="preserve">拧紧枪</t>
    </r>
    <r>
      <rPr>
        <sz val="9"/>
        <rFont val="微软雅黑"/>
        <family val="0"/>
        <charset val="1"/>
      </rPr>
      <t xml:space="preserve">1</t>
    </r>
    <r>
      <rPr>
        <sz val="9"/>
        <rFont val="Noto Sans CJK SC"/>
        <family val="2"/>
      </rPr>
      <t xml:space="preserve">把、检测设备</t>
    </r>
    <r>
      <rPr>
        <sz val="9"/>
        <rFont val="微软雅黑"/>
        <family val="0"/>
        <charset val="1"/>
      </rPr>
      <t xml:space="preserve">2</t>
    </r>
    <r>
      <rPr>
        <sz val="9"/>
        <rFont val="Noto Sans CJK SC"/>
        <family val="2"/>
      </rPr>
      <t xml:space="preserve">台、</t>
    </r>
    <r>
      <rPr>
        <sz val="9"/>
        <rFont val="微软雅黑"/>
        <family val="0"/>
        <charset val="1"/>
      </rPr>
      <t xml:space="preserve">PLC</t>
    </r>
    <r>
      <rPr>
        <sz val="9"/>
        <rFont val="Noto Sans CJK SC"/>
        <family val="2"/>
      </rPr>
      <t xml:space="preserve">四类信号通讯参数</t>
    </r>
  </si>
  <si>
    <t xml:space="preserve">设备接口协议、数据字典与通讯参数确认</t>
  </si>
  <si>
    <r>
      <rPr>
        <sz val="9"/>
        <rFont val="Noto Sans CJK SC"/>
        <family val="2"/>
      </rPr>
      <t xml:space="preserve">★独立保留：依赖设备协议，协议缺失即转为遗留项；压机</t>
    </r>
    <r>
      <rPr>
        <sz val="9"/>
        <rFont val="微软雅黑"/>
        <family val="0"/>
        <charset val="1"/>
      </rPr>
      <t xml:space="preserve">5</t>
    </r>
    <r>
      <rPr>
        <sz val="9"/>
        <rFont val="Noto Sans CJK SC"/>
        <family val="2"/>
      </rPr>
      <t xml:space="preserve">台仅国内调试</t>
    </r>
  </si>
  <si>
    <t xml:space="preserve">工位单机与设备采集调试</t>
  </si>
  <si>
    <t xml:space="preserve">服务器本地功能验证：登录、订单、工艺、报表、追溯、用户权限、日志</t>
  </si>
  <si>
    <t xml:space="preserve">基础配置完成</t>
  </si>
  <si>
    <r>
      <rPr>
        <sz val="9"/>
        <rFont val="Noto Sans CJK SC"/>
        <family val="2"/>
      </rPr>
      <t xml:space="preserve">逐工位验证客户端：启动、扫码、</t>
    </r>
    <r>
      <rPr>
        <sz val="9"/>
        <rFont val="微软雅黑"/>
        <family val="0"/>
        <charset val="1"/>
      </rPr>
      <t xml:space="preserve">SOP</t>
    </r>
    <r>
      <rPr>
        <sz val="9"/>
        <rFont val="Noto Sans CJK SC"/>
        <family val="2"/>
      </rPr>
      <t xml:space="preserve">显示、防错、过站、数据上传</t>
    </r>
  </si>
  <si>
    <t xml:space="preserve">工位客户端部署完成，网络连通</t>
  </si>
  <si>
    <t xml:space="preserve">缺枪工位先用手工录入模式，签认表标注</t>
  </si>
  <si>
    <r>
      <rPr>
        <sz val="9"/>
        <rFont val="Noto Sans CJK SC"/>
        <family val="2"/>
      </rPr>
      <t xml:space="preserve">上线打码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条码绑定测试：总成二维码生成、打印、扫描、绑定</t>
    </r>
  </si>
  <si>
    <t xml:space="preserve">打码设备、扫码枪就绪</t>
  </si>
  <si>
    <t xml:space="preserve">零件条码采集测试：零件二维码、批次码、重复校验、数量校验、特征码校验</t>
  </si>
  <si>
    <t xml:space="preserve">零件条码规则确认，扫码枪就绪</t>
  </si>
  <si>
    <r>
      <rPr>
        <sz val="9"/>
        <rFont val="Noto Sans CJK SC"/>
        <family val="2"/>
      </rPr>
      <t xml:space="preserve">★缺</t>
    </r>
    <r>
      <rPr>
        <sz val="9"/>
        <rFont val="微软雅黑"/>
        <family val="0"/>
        <charset val="1"/>
      </rPr>
      <t xml:space="preserve">5</t>
    </r>
    <r>
      <rPr>
        <sz val="9"/>
        <rFont val="Noto Sans CJK SC"/>
        <family val="2"/>
      </rPr>
      <t xml:space="preserve">把扫码枪的工位无法完成条码防错验证</t>
    </r>
  </si>
  <si>
    <t xml:space="preserve">过程数据采集测试：进站、出站、过站信息、工单号、序列号、工站、人员、时间</t>
  </si>
  <si>
    <r>
      <rPr>
        <sz val="9"/>
        <rFont val="Noto Sans CJK SC"/>
        <family val="2"/>
      </rPr>
      <t xml:space="preserve">工位客户端与</t>
    </r>
    <r>
      <rPr>
        <sz val="9"/>
        <rFont val="微软雅黑"/>
        <family val="0"/>
        <charset val="1"/>
      </rPr>
      <t xml:space="preserve">PLC</t>
    </r>
    <r>
      <rPr>
        <sz val="9"/>
        <rFont val="Noto Sans CJK SC"/>
        <family val="2"/>
      </rPr>
      <t xml:space="preserve">通讯正常</t>
    </r>
  </si>
  <si>
    <t xml:space="preserve">拧紧数据采集测试：扭矩、角度、曲线、合格状态、螺栓遗漏查询</t>
  </si>
  <si>
    <t xml:space="preserve">拧紧枪通讯正常，程序号配置完成</t>
  </si>
  <si>
    <r>
      <rPr>
        <sz val="9"/>
        <rFont val="微软雅黑"/>
        <family val="0"/>
        <charset val="1"/>
      </rPr>
      <t xml:space="preserve">ATLAS 1</t>
    </r>
    <r>
      <rPr>
        <sz val="9"/>
        <rFont val="Noto Sans CJK SC"/>
        <family val="2"/>
      </rPr>
      <t xml:space="preserve">把（主动轮）</t>
    </r>
  </si>
  <si>
    <t xml:space="preserve">伺服压机数据采集验证：压力、位移、通讯稳定性、数据上传</t>
  </si>
  <si>
    <r>
      <rPr>
        <b val="true"/>
        <sz val="9"/>
        <rFont val="Noto Sans CJK SC"/>
        <family val="2"/>
      </rPr>
      <t xml:space="preserve">甲方</t>
    </r>
    <r>
      <rPr>
        <b val="true"/>
        <sz val="9"/>
        <rFont val="微软雅黑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设备商主责，递缇远程协助</t>
    </r>
  </si>
  <si>
    <r>
      <rPr>
        <b val="true"/>
        <sz val="9"/>
        <rFont val="Noto Sans CJK SC"/>
        <family val="2"/>
      </rPr>
      <t xml:space="preserve">甲方</t>
    </r>
    <r>
      <rPr>
        <b val="true"/>
        <sz val="9"/>
        <rFont val="微软雅黑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设备商</t>
    </r>
  </si>
  <si>
    <t xml:space="preserve">压机通电、网络连通、接口协议开放</t>
  </si>
  <si>
    <r>
      <rPr>
        <b val="true"/>
        <sz val="9"/>
        <rFont val="Noto Sans CJK SC"/>
        <family val="2"/>
      </rPr>
      <t xml:space="preserve">★报价明确</t>
    </r>
    <r>
      <rPr>
        <b val="true"/>
        <sz val="9"/>
        <rFont val="微软雅黑"/>
        <family val="0"/>
        <charset val="1"/>
      </rPr>
      <t xml:space="preserve">5</t>
    </r>
    <r>
      <rPr>
        <b val="true"/>
        <sz val="9"/>
        <rFont val="Noto Sans CJK SC"/>
        <family val="2"/>
      </rPr>
      <t xml:space="preserve">台压机仅国内调试、不含国外调试费用，现场责任界面需书面确认</t>
    </r>
  </si>
  <si>
    <r>
      <rPr>
        <sz val="9"/>
        <rFont val="Noto Sans CJK SC"/>
        <family val="2"/>
      </rPr>
      <t xml:space="preserve">检测设备数据采集验证：</t>
    </r>
    <r>
      <rPr>
        <sz val="9"/>
        <rFont val="微软雅黑"/>
        <family val="0"/>
        <charset val="1"/>
      </rPr>
      <t xml:space="preserve">2</t>
    </r>
    <r>
      <rPr>
        <sz val="9"/>
        <rFont val="Noto Sans CJK SC"/>
        <family val="2"/>
      </rPr>
      <t xml:space="preserve">台检测设备数据上传、结果绑定</t>
    </r>
  </si>
  <si>
    <t xml:space="preserve">检测设备接口开放、通讯正常</t>
  </si>
  <si>
    <r>
      <rPr>
        <sz val="9"/>
        <rFont val="Noto Sans CJK SC"/>
        <family val="2"/>
      </rPr>
      <t xml:space="preserve">电子看板验证：订单内容、计划产量、实际产量、不良率、工位状态、</t>
    </r>
    <r>
      <rPr>
        <sz val="9"/>
        <rFont val="微软雅黑"/>
        <family val="0"/>
        <charset val="1"/>
      </rPr>
      <t xml:space="preserve">SPC</t>
    </r>
    <r>
      <rPr>
        <sz val="9"/>
        <rFont val="Noto Sans CJK SC"/>
        <family val="2"/>
      </rPr>
      <t xml:space="preserve">图</t>
    </r>
  </si>
  <si>
    <t xml:space="preserve">看板数据源配置完成，大屏就绪</t>
  </si>
  <si>
    <r>
      <rPr>
        <sz val="9"/>
        <rFont val="Noto Sans CJK SC"/>
        <family val="2"/>
      </rPr>
      <t xml:space="preserve">质量报告与追溯验证：正反向追溯、树形展示、报表导出</t>
    </r>
    <r>
      <rPr>
        <sz val="9"/>
        <rFont val="微软雅黑"/>
        <family val="0"/>
        <charset val="1"/>
      </rPr>
      <t xml:space="preserve">Excel</t>
    </r>
    <r>
      <rPr>
        <sz val="9"/>
        <rFont val="Noto Sans CJK SC"/>
        <family val="2"/>
      </rPr>
      <t xml:space="preserve">、工号姓名显示</t>
    </r>
  </si>
  <si>
    <t xml:space="preserve">质量数据采集完成</t>
  </si>
  <si>
    <r>
      <rPr>
        <sz val="9"/>
        <rFont val="Noto Sans CJK SC"/>
        <family val="2"/>
      </rPr>
      <t xml:space="preserve">性能验证：操作延时≤</t>
    </r>
    <r>
      <rPr>
        <sz val="9"/>
        <rFont val="微软雅黑"/>
        <family val="0"/>
        <charset val="1"/>
      </rPr>
      <t xml:space="preserve">1</t>
    </r>
    <r>
      <rPr>
        <sz val="9"/>
        <rFont val="Noto Sans CJK SC"/>
        <family val="2"/>
      </rPr>
      <t xml:space="preserve">秒、数据库查询≤</t>
    </r>
    <r>
      <rPr>
        <sz val="9"/>
        <rFont val="微软雅黑"/>
        <family val="0"/>
        <charset val="1"/>
      </rPr>
      <t xml:space="preserve">4</t>
    </r>
    <r>
      <rPr>
        <sz val="9"/>
        <rFont val="Noto Sans CJK SC"/>
        <family val="2"/>
      </rPr>
      <t xml:space="preserve">秒、并发访问、故障恢复、数据不丢失</t>
    </r>
  </si>
  <si>
    <t xml:space="preserve">系统稳定运行，测试数据准备</t>
  </si>
  <si>
    <t xml:space="preserve">判定方法需双方事先约定</t>
  </si>
  <si>
    <t xml:space="preserve">全线联调与试生产</t>
  </si>
  <si>
    <r>
      <rPr>
        <sz val="9"/>
        <rFont val="微软雅黑"/>
        <family val="0"/>
        <charset val="1"/>
      </rPr>
      <t xml:space="preserve">MES</t>
    </r>
    <r>
      <rPr>
        <sz val="9"/>
        <rFont val="Noto Sans CJK SC"/>
        <family val="2"/>
      </rPr>
      <t xml:space="preserve">与</t>
    </r>
    <r>
      <rPr>
        <sz val="9"/>
        <rFont val="微软雅黑"/>
        <family val="0"/>
        <charset val="1"/>
      </rPr>
      <t xml:space="preserve">PLC</t>
    </r>
    <r>
      <rPr>
        <sz val="9"/>
        <rFont val="Noto Sans CJK SC"/>
        <family val="2"/>
      </rPr>
      <t xml:space="preserve">联调：工件到位、保存数据、保存完成、验证完成、设备监控、生产控制</t>
    </r>
  </si>
  <si>
    <r>
      <rPr>
        <sz val="9"/>
        <rFont val="Noto Sans CJK SC"/>
        <family val="2"/>
      </rPr>
      <t xml:space="preserve">单机调试完成，</t>
    </r>
    <r>
      <rPr>
        <sz val="9"/>
        <rFont val="微软雅黑"/>
        <family val="0"/>
        <charset val="1"/>
      </rPr>
      <t xml:space="preserve">PLC</t>
    </r>
    <r>
      <rPr>
        <sz val="9"/>
        <rFont val="Noto Sans CJK SC"/>
        <family val="2"/>
      </rPr>
      <t xml:space="preserve">通讯正常</t>
    </r>
  </si>
  <si>
    <r>
      <rPr>
        <sz val="9"/>
        <rFont val="微软雅黑"/>
        <family val="0"/>
        <charset val="1"/>
      </rPr>
      <t xml:space="preserve">MES</t>
    </r>
    <r>
      <rPr>
        <sz val="9"/>
        <rFont val="Noto Sans CJK SC"/>
        <family val="2"/>
      </rPr>
      <t xml:space="preserve">与工厂</t>
    </r>
    <r>
      <rPr>
        <sz val="9"/>
        <rFont val="微软雅黑"/>
        <family val="0"/>
        <charset val="1"/>
      </rPr>
      <t xml:space="preserve">MES/SAP</t>
    </r>
    <r>
      <rPr>
        <sz val="9"/>
        <rFont val="Noto Sans CJK SC"/>
        <family val="2"/>
      </rPr>
      <t xml:space="preserve">接口联调（如有）</t>
    </r>
  </si>
  <si>
    <r>
      <rPr>
        <sz val="9"/>
        <rFont val="Noto Sans CJK SC"/>
        <family val="2"/>
      </rPr>
      <t xml:space="preserve">工厂</t>
    </r>
    <r>
      <rPr>
        <sz val="9"/>
        <rFont val="微软雅黑"/>
        <family val="0"/>
        <charset val="1"/>
      </rPr>
      <t xml:space="preserve">MES/SAP</t>
    </r>
    <r>
      <rPr>
        <sz val="9"/>
        <rFont val="Noto Sans CJK SC"/>
        <family val="2"/>
      </rPr>
      <t xml:space="preserve">接口可用</t>
    </r>
  </si>
  <si>
    <t xml:space="preserve">甲方系统不具备时列为遗留项</t>
  </si>
  <si>
    <t xml:space="preserve">全线空运行：订单下发→打码→扫码→装配→数据采集→过站→下线→追溯</t>
  </si>
  <si>
    <r>
      <rPr>
        <sz val="9"/>
        <rFont val="Noto Sans CJK SC"/>
        <family val="2"/>
      </rPr>
      <t xml:space="preserve">各工位、设备、</t>
    </r>
    <r>
      <rPr>
        <sz val="9"/>
        <rFont val="微软雅黑"/>
        <family val="0"/>
        <charset val="1"/>
      </rPr>
      <t xml:space="preserve">PLC</t>
    </r>
    <r>
      <rPr>
        <sz val="9"/>
        <rFont val="Noto Sans CJK SC"/>
        <family val="2"/>
      </rPr>
      <t xml:space="preserve">联调完成</t>
    </r>
  </si>
  <si>
    <r>
      <rPr>
        <b val="true"/>
        <sz val="9"/>
        <rFont val="Noto Sans CJK SC"/>
        <family val="2"/>
      </rPr>
      <t xml:space="preserve">带产品试生产：小批量验证，记录</t>
    </r>
    <r>
      <rPr>
        <b val="true"/>
        <sz val="9"/>
        <rFont val="微软雅黑"/>
        <family val="0"/>
        <charset val="1"/>
      </rPr>
      <t xml:space="preserve">MES</t>
    </r>
    <r>
      <rPr>
        <b val="true"/>
        <sz val="9"/>
        <rFont val="Noto Sans CJK SC"/>
        <family val="2"/>
      </rPr>
      <t xml:space="preserve">问题、设备采集问题、网络问题</t>
    </r>
  </si>
  <si>
    <t xml:space="preserve">空运行无重大异常，试生产物料准备</t>
  </si>
  <si>
    <t xml:space="preserve">试生产物料由甲方准备</t>
  </si>
  <si>
    <t xml:space="preserve">异常场景测试：设备异常、质量异常、数据异常、安灯报警、不合格拦截、高权限跳站</t>
  </si>
  <si>
    <t xml:space="preserve">异常处理逻辑配置完成</t>
  </si>
  <si>
    <r>
      <rPr>
        <sz val="9"/>
        <rFont val="Noto Sans CJK SC"/>
        <family val="2"/>
      </rPr>
      <t xml:space="preserve">生产报表、</t>
    </r>
    <r>
      <rPr>
        <sz val="9"/>
        <rFont val="微软雅黑"/>
        <family val="0"/>
        <charset val="1"/>
      </rPr>
      <t xml:space="preserve">SPC</t>
    </r>
    <r>
      <rPr>
        <sz val="9"/>
        <rFont val="Noto Sans CJK SC"/>
        <family val="2"/>
      </rPr>
      <t xml:space="preserve">、看板、日志、用户权限综合验证</t>
    </r>
  </si>
  <si>
    <t xml:space="preserve">试生产数据积累</t>
  </si>
  <si>
    <t xml:space="preserve">分角色培训：操作工、班组长、质量、维护，并交付用户操作手册</t>
  </si>
  <si>
    <t xml:space="preserve">系统功能验证完成</t>
  </si>
  <si>
    <t xml:space="preserve">★原计划缺培训任务，按交付物要求补充</t>
  </si>
  <si>
    <t xml:space="preserve">预验收：按技术协议在杭州国内工厂进行；如已完成则做资料归档与遗留项确认</t>
  </si>
  <si>
    <t xml:space="preserve">待确认</t>
  </si>
  <si>
    <t xml:space="preserve">杭州阶段单机部署完成</t>
  </si>
  <si>
    <t xml:space="preserve">★需确认预验收是否已随一体机后到而顺延</t>
  </si>
  <si>
    <t xml:space="preserve">现场实施完成确认与交接：遗留问题清单、备件与工具移交</t>
  </si>
  <si>
    <t xml:space="preserve">试生产与培训完成</t>
  </si>
  <si>
    <t xml:space="preserve">试运行、验收与运维</t>
  </si>
  <si>
    <r>
      <rPr>
        <sz val="9"/>
        <rFont val="Noto Sans CJK SC"/>
        <family val="2"/>
      </rPr>
      <t xml:space="preserve">远程调试：缺陷修复、参数优化、陪产支持（</t>
    </r>
    <r>
      <rPr>
        <sz val="9"/>
        <rFont val="微软雅黑"/>
        <family val="0"/>
        <charset val="1"/>
      </rPr>
      <t xml:space="preserve">1</t>
    </r>
    <r>
      <rPr>
        <sz val="9"/>
        <rFont val="Noto Sans CJK SC"/>
        <family val="2"/>
      </rPr>
      <t xml:space="preserve">人</t>
    </r>
    <r>
      <rPr>
        <sz val="9"/>
        <rFont val="微软雅黑"/>
        <family val="0"/>
        <charset val="1"/>
      </rPr>
      <t xml:space="preserve">1</t>
    </r>
    <r>
      <rPr>
        <sz val="9"/>
        <rFont val="Noto Sans CJK SC"/>
        <family val="2"/>
      </rPr>
      <t xml:space="preserve">个月）</t>
    </r>
  </si>
  <si>
    <r>
      <rPr>
        <sz val="9"/>
        <rFont val="Noto Sans CJK SC"/>
        <family val="2"/>
      </rPr>
      <t xml:space="preserve">递缇（报价含</t>
    </r>
    <r>
      <rPr>
        <sz val="9"/>
        <rFont val="微软雅黑"/>
        <family val="0"/>
        <charset val="1"/>
      </rPr>
      <t xml:space="preserve">1</t>
    </r>
    <r>
      <rPr>
        <sz val="9"/>
        <rFont val="Noto Sans CJK SC"/>
        <family val="2"/>
      </rPr>
      <t xml:space="preserve">人</t>
    </r>
    <r>
      <rPr>
        <sz val="9"/>
        <rFont val="微软雅黑"/>
        <family val="0"/>
        <charset val="1"/>
      </rPr>
      <t xml:space="preserve">1</t>
    </r>
    <r>
      <rPr>
        <sz val="9"/>
        <rFont val="Noto Sans CJK SC"/>
        <family val="2"/>
      </rPr>
      <t xml:space="preserve">个月）</t>
    </r>
  </si>
  <si>
    <t xml:space="preserve">现场交接完成，远程通道可用</t>
  </si>
  <si>
    <t xml:space="preserve">按墨西哥时差排班</t>
  </si>
  <si>
    <t xml:space="preserve">试运行：连续生产，问题闭环，免费修改与升级</t>
  </si>
  <si>
    <t xml:space="preserve">远程调试启动</t>
  </si>
  <si>
    <r>
      <rPr>
        <sz val="9"/>
        <rFont val="Noto Sans CJK SC"/>
        <family val="2"/>
      </rPr>
      <t xml:space="preserve">生产</t>
    </r>
    <r>
      <rPr>
        <sz val="9"/>
        <rFont val="微软雅黑"/>
        <family val="0"/>
        <charset val="1"/>
      </rPr>
      <t xml:space="preserve">3</t>
    </r>
    <r>
      <rPr>
        <sz val="9"/>
        <rFont val="Noto Sans CJK SC"/>
        <family val="2"/>
      </rPr>
      <t xml:space="preserve">个月或</t>
    </r>
    <r>
      <rPr>
        <sz val="9"/>
        <rFont val="微软雅黑"/>
        <family val="0"/>
        <charset val="1"/>
      </rPr>
      <t xml:space="preserve">1000</t>
    </r>
    <r>
      <rPr>
        <sz val="9"/>
        <rFont val="Noto Sans CJK SC"/>
        <family val="2"/>
      </rPr>
      <t xml:space="preserve">台，以先到为准</t>
    </r>
  </si>
  <si>
    <t xml:space="preserve">终验收：按技术协议逐项验收</t>
  </si>
  <si>
    <t xml:space="preserve">试运行达标</t>
  </si>
  <si>
    <t xml:space="preserve">不组织验收则视为合格；争议期间除外</t>
  </si>
  <si>
    <r>
      <rPr>
        <sz val="9"/>
        <rFont val="Noto Sans CJK SC"/>
        <family val="2"/>
      </rPr>
      <t xml:space="preserve">质保与运维：终验收合格起</t>
    </r>
    <r>
      <rPr>
        <sz val="9"/>
        <rFont val="微软雅黑"/>
        <family val="0"/>
        <charset val="1"/>
      </rPr>
      <t xml:space="preserve">1</t>
    </r>
    <r>
      <rPr>
        <sz val="9"/>
        <rFont val="Noto Sans CJK SC"/>
        <family val="2"/>
      </rPr>
      <t xml:space="preserve">年，</t>
    </r>
    <r>
      <rPr>
        <sz val="9"/>
        <rFont val="微软雅黑"/>
        <family val="0"/>
        <charset val="1"/>
      </rPr>
      <t xml:space="preserve">7×24</t>
    </r>
    <r>
      <rPr>
        <sz val="9"/>
        <rFont val="Noto Sans CJK SC"/>
        <family val="2"/>
      </rPr>
      <t xml:space="preserve">支持，</t>
    </r>
    <r>
      <rPr>
        <sz val="9"/>
        <rFont val="微软雅黑"/>
        <family val="0"/>
        <charset val="1"/>
      </rPr>
      <t xml:space="preserve">4</t>
    </r>
    <r>
      <rPr>
        <sz val="9"/>
        <rFont val="Noto Sans CJK SC"/>
        <family val="2"/>
      </rPr>
      <t xml:space="preserve">小时内出方案</t>
    </r>
  </si>
  <si>
    <t xml:space="preserve">终验收合格</t>
  </si>
  <si>
    <r>
      <rPr>
        <sz val="9"/>
        <rFont val="Noto Sans CJK SC"/>
        <family val="2"/>
      </rPr>
      <t xml:space="preserve">质保期</t>
    </r>
    <r>
      <rPr>
        <sz val="9"/>
        <rFont val="微软雅黑"/>
        <family val="0"/>
        <charset val="1"/>
      </rPr>
      <t xml:space="preserve">1</t>
    </r>
    <r>
      <rPr>
        <sz val="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</si>
  <si>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合计：现场实施 </t>
    </r>
    <r>
      <rPr>
        <b val="true"/>
        <sz val="10"/>
        <rFont val="微软雅黑"/>
        <family val="0"/>
        <charset val="1"/>
      </rPr>
      <t xml:space="preserve">38 </t>
    </r>
    <r>
      <rPr>
        <b val="true"/>
        <sz val="10"/>
        <rFont val="Noto Sans CJK SC"/>
        <family val="2"/>
      </rPr>
      <t xml:space="preserve">天（含并行作业）；远程调试 </t>
    </r>
    <r>
      <rPr>
        <b val="true"/>
        <sz val="10"/>
        <rFont val="微软雅黑"/>
        <family val="0"/>
        <charset val="1"/>
      </rPr>
      <t xml:space="preserve">20 </t>
    </r>
    <r>
      <rPr>
        <b val="true"/>
        <sz val="10"/>
        <rFont val="Noto Sans CJK SC"/>
        <family val="2"/>
      </rPr>
      <t xml:space="preserve">天；试运行 </t>
    </r>
    <r>
      <rPr>
        <b val="true"/>
        <sz val="10"/>
        <rFont val="微软雅黑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天；质保 </t>
    </r>
    <r>
      <rPr>
        <b val="true"/>
        <sz val="10"/>
        <rFont val="微软雅黑"/>
        <family val="0"/>
        <charset val="1"/>
      </rPr>
      <t xml:space="preserve">365 </t>
    </r>
    <r>
      <rPr>
        <b val="true"/>
        <sz val="10"/>
        <rFont val="Noto Sans CJK SC"/>
        <family val="2"/>
      </rPr>
      <t xml:space="preserve">天</t>
    </r>
  </si>
  <si>
    <r>
      <rPr>
        <b val="true"/>
        <sz val="14"/>
        <color rgb="FFFFFFFF"/>
        <rFont val="Noto Sans CJK SC"/>
        <family val="2"/>
      </rPr>
      <t xml:space="preserve">现场实施甘特（周）｜</t>
    </r>
    <r>
      <rPr>
        <b val="true"/>
        <sz val="14"/>
        <color rgb="FFFFFFFF"/>
        <rFont val="微软雅黑"/>
        <family val="0"/>
        <charset val="1"/>
      </rPr>
      <t xml:space="preserve">D1 = </t>
    </r>
    <r>
      <rPr>
        <b val="true"/>
        <sz val="14"/>
        <color rgb="FFFFFFFF"/>
        <rFont val="Noto Sans CJK SC"/>
        <family val="2"/>
      </rPr>
      <t xml:space="preserve">计划开始日</t>
    </r>
  </si>
  <si>
    <t xml:space="preserve">周期</t>
  </si>
  <si>
    <r>
      <rPr>
        <sz val="8"/>
        <rFont val="Noto Sans CJK SC"/>
        <family val="2"/>
      </rPr>
      <t xml:space="preserve">设备到货清关、开箱验货及</t>
    </r>
    <r>
      <rPr>
        <sz val="8"/>
        <rFont val="微软雅黑"/>
        <family val="0"/>
        <charset val="1"/>
      </rPr>
      <t xml:space="preserve">IT</t>
    </r>
    <r>
      <rPr>
        <sz val="8"/>
        <rFont val="Noto Sans CJK SC"/>
        <family val="2"/>
      </rPr>
      <t xml:space="preserve">环境确认（网段、</t>
    </r>
    <r>
      <rPr>
        <sz val="8"/>
        <rFont val="微软雅黑"/>
        <family val="0"/>
        <charset val="1"/>
      </rPr>
      <t xml:space="preserve">IP</t>
    </r>
    <r>
      <rPr>
        <sz val="8"/>
        <rFont val="Noto Sans CJK SC"/>
        <family val="2"/>
      </rPr>
      <t xml:space="preserve">、防火墙、端口、远程工具）</t>
    </r>
  </si>
  <si>
    <r>
      <rPr>
        <sz val="8"/>
        <rFont val="Noto Sans CJK SC"/>
        <family val="2"/>
      </rPr>
      <t xml:space="preserve">服务器机柜就位，安装服务器、显示器、键鼠、</t>
    </r>
    <r>
      <rPr>
        <sz val="8"/>
        <rFont val="微软雅黑"/>
        <family val="0"/>
        <charset val="1"/>
      </rPr>
      <t xml:space="preserve">UPS</t>
    </r>
    <r>
      <rPr>
        <sz val="8"/>
        <rFont val="Noto Sans CJK SC"/>
        <family val="2"/>
      </rPr>
      <t xml:space="preserve">、交换机</t>
    </r>
  </si>
  <si>
    <r>
      <rPr>
        <sz val="8"/>
        <rFont val="Noto Sans CJK SC"/>
        <family val="2"/>
      </rPr>
      <t xml:space="preserve">服务器上电，检查硬件状态、硬盘、内存、网口、</t>
    </r>
    <r>
      <rPr>
        <sz val="8"/>
        <rFont val="微软雅黑"/>
        <family val="0"/>
        <charset val="1"/>
      </rPr>
      <t xml:space="preserve">RAID</t>
    </r>
  </si>
  <si>
    <r>
      <rPr>
        <sz val="8"/>
        <rFont val="Noto Sans CJK SC"/>
        <family val="2"/>
      </rPr>
      <t xml:space="preserve">服务器系统与数据库复核（国内已安装）：核对主机名、固定</t>
    </r>
    <r>
      <rPr>
        <sz val="8"/>
        <rFont val="微软雅黑"/>
        <family val="0"/>
        <charset val="1"/>
      </rPr>
      <t xml:space="preserve">IP</t>
    </r>
    <r>
      <rPr>
        <sz val="8"/>
        <rFont val="Noto Sans CJK SC"/>
        <family val="2"/>
      </rPr>
      <t xml:space="preserve">、防火墙、远程桌面、实例、账号、端口、备份策略；异常时按镜像或配置基线恢复</t>
    </r>
  </si>
  <si>
    <r>
      <rPr>
        <sz val="8"/>
        <rFont val="Noto Sans CJK SC"/>
        <family val="2"/>
      </rPr>
      <t xml:space="preserve">配置网络交换机，划分</t>
    </r>
    <r>
      <rPr>
        <sz val="8"/>
        <rFont val="微软雅黑"/>
        <family val="0"/>
        <charset val="1"/>
      </rPr>
      <t xml:space="preserve">/</t>
    </r>
    <r>
      <rPr>
        <sz val="8"/>
        <rFont val="Noto Sans CJK SC"/>
        <family val="2"/>
      </rPr>
      <t xml:space="preserve">确认</t>
    </r>
    <r>
      <rPr>
        <sz val="8"/>
        <rFont val="微软雅黑"/>
        <family val="0"/>
        <charset val="1"/>
      </rPr>
      <t xml:space="preserve">MES</t>
    </r>
    <r>
      <rPr>
        <sz val="8"/>
        <rFont val="Noto Sans CJK SC"/>
        <family val="2"/>
      </rPr>
      <t xml:space="preserve">网段，连接服务器、工位一体机、大屏、</t>
    </r>
    <r>
      <rPr>
        <sz val="8"/>
        <rFont val="微软雅黑"/>
        <family val="0"/>
        <charset val="1"/>
      </rPr>
      <t xml:space="preserve">PLC</t>
    </r>
    <r>
      <rPr>
        <sz val="8"/>
        <rFont val="Noto Sans CJK SC"/>
        <family val="2"/>
      </rPr>
      <t xml:space="preserve">及设备</t>
    </r>
  </si>
  <si>
    <r>
      <rPr>
        <sz val="8"/>
        <rFont val="Noto Sans CJK SC"/>
        <family val="2"/>
      </rPr>
      <t xml:space="preserve">安装</t>
    </r>
    <r>
      <rPr>
        <sz val="8"/>
        <rFont val="微软雅黑"/>
        <family val="0"/>
        <charset val="1"/>
      </rPr>
      <t xml:space="preserve">15</t>
    </r>
    <r>
      <rPr>
        <sz val="8"/>
        <rFont val="Noto Sans CJK SC"/>
        <family val="2"/>
      </rPr>
      <t xml:space="preserve">台工位一体机及支架，上电，配置网络</t>
    </r>
  </si>
  <si>
    <r>
      <rPr>
        <sz val="8"/>
        <rFont val="Noto Sans CJK SC"/>
        <family val="2"/>
      </rPr>
      <t xml:space="preserve">安装并调试扫码枪：到场</t>
    </r>
    <r>
      <rPr>
        <sz val="8"/>
        <rFont val="微软雅黑"/>
        <family val="0"/>
        <charset val="1"/>
      </rPr>
      <t xml:space="preserve">10</t>
    </r>
    <r>
      <rPr>
        <sz val="8"/>
        <rFont val="Noto Sans CJK SC"/>
        <family val="2"/>
      </rPr>
      <t xml:space="preserve">把有线</t>
    </r>
    <r>
      <rPr>
        <sz val="8"/>
        <rFont val="微软雅黑"/>
        <family val="0"/>
        <charset val="1"/>
      </rPr>
      <t xml:space="preserve">/</t>
    </r>
    <r>
      <rPr>
        <sz val="8"/>
        <rFont val="Noto Sans CJK SC"/>
        <family val="2"/>
      </rPr>
      <t xml:space="preserve">无线连接、扫码识别、条码类型；缺口</t>
    </r>
    <r>
      <rPr>
        <sz val="8"/>
        <rFont val="微软雅黑"/>
        <family val="0"/>
        <charset val="1"/>
      </rPr>
      <t xml:space="preserve">5</t>
    </r>
    <r>
      <rPr>
        <sz val="8"/>
        <rFont val="Noto Sans CJK SC"/>
        <family val="2"/>
      </rPr>
      <t xml:space="preserve">把按借用</t>
    </r>
    <r>
      <rPr>
        <sz val="8"/>
        <rFont val="微软雅黑"/>
        <family val="0"/>
        <charset val="1"/>
      </rPr>
      <t xml:space="preserve">/</t>
    </r>
    <r>
      <rPr>
        <sz val="8"/>
        <rFont val="Noto Sans CJK SC"/>
        <family val="2"/>
      </rPr>
      <t xml:space="preserve">串口枪</t>
    </r>
    <r>
      <rPr>
        <sz val="8"/>
        <rFont val="微软雅黑"/>
        <family val="0"/>
        <charset val="1"/>
      </rPr>
      <t xml:space="preserve">/</t>
    </r>
    <r>
      <rPr>
        <sz val="8"/>
        <rFont val="Noto Sans CJK SC"/>
        <family val="2"/>
      </rPr>
      <t xml:space="preserve">补发处置</t>
    </r>
  </si>
  <si>
    <r>
      <rPr>
        <sz val="8"/>
        <rFont val="Noto Sans CJK SC"/>
        <family val="2"/>
      </rPr>
      <t xml:space="preserve">安装</t>
    </r>
    <r>
      <rPr>
        <sz val="8"/>
        <rFont val="微软雅黑"/>
        <family val="0"/>
        <charset val="1"/>
      </rPr>
      <t xml:space="preserve">75</t>
    </r>
    <r>
      <rPr>
        <sz val="8"/>
        <rFont val="Noto Sans CJK SC"/>
        <family val="2"/>
      </rPr>
      <t xml:space="preserve">寸大屏电视</t>
    </r>
    <r>
      <rPr>
        <sz val="8"/>
        <rFont val="微软雅黑"/>
        <family val="0"/>
        <charset val="1"/>
      </rPr>
      <t xml:space="preserve">+</t>
    </r>
    <r>
      <rPr>
        <sz val="8"/>
        <rFont val="Noto Sans CJK SC"/>
        <family val="2"/>
      </rPr>
      <t xml:space="preserve">盒式</t>
    </r>
    <r>
      <rPr>
        <sz val="8"/>
        <rFont val="微软雅黑"/>
        <family val="0"/>
        <charset val="1"/>
      </rPr>
      <t xml:space="preserve">PC</t>
    </r>
    <r>
      <rPr>
        <sz val="8"/>
        <rFont val="Noto Sans CJK SC"/>
        <family val="2"/>
      </rPr>
      <t xml:space="preserve">，配置浏览器、网络、看板显示</t>
    </r>
  </si>
  <si>
    <r>
      <rPr>
        <sz val="8"/>
        <rFont val="微软雅黑"/>
        <family val="0"/>
        <charset val="1"/>
      </rPr>
      <t xml:space="preserve">MES</t>
    </r>
    <r>
      <rPr>
        <sz val="8"/>
        <rFont val="Noto Sans CJK SC"/>
        <family val="2"/>
      </rPr>
      <t xml:space="preserve">软件部署与基础配置</t>
    </r>
  </si>
  <si>
    <r>
      <rPr>
        <sz val="8"/>
        <rFont val="Noto Sans CJK SC"/>
        <family val="2"/>
      </rPr>
      <t xml:space="preserve">部署</t>
    </r>
    <r>
      <rPr>
        <sz val="8"/>
        <rFont val="微软雅黑"/>
        <family val="0"/>
        <charset val="1"/>
      </rPr>
      <t xml:space="preserve">MES</t>
    </r>
    <r>
      <rPr>
        <sz val="8"/>
        <rFont val="Noto Sans CJK SC"/>
        <family val="2"/>
      </rPr>
      <t xml:space="preserve">服务端：软件包、组件、依赖环境，初始化数据库</t>
    </r>
  </si>
  <si>
    <r>
      <rPr>
        <sz val="8"/>
        <rFont val="Noto Sans CJK SC"/>
        <family val="2"/>
      </rPr>
      <t xml:space="preserve">部署工控机客户端到</t>
    </r>
    <r>
      <rPr>
        <sz val="8"/>
        <rFont val="微软雅黑"/>
        <family val="0"/>
        <charset val="1"/>
      </rPr>
      <t xml:space="preserve">15</t>
    </r>
    <r>
      <rPr>
        <sz val="8"/>
        <rFont val="Noto Sans CJK SC"/>
        <family val="2"/>
      </rPr>
      <t xml:space="preserve">个工位一体机，配置启动项、客户端参数</t>
    </r>
  </si>
  <si>
    <r>
      <rPr>
        <sz val="8"/>
        <rFont val="Noto Sans CJK SC"/>
        <family val="2"/>
      </rPr>
      <t xml:space="preserve">基础数据与工艺建模（一次性完成）：系统语言中</t>
    </r>
    <r>
      <rPr>
        <sz val="8"/>
        <rFont val="微软雅黑"/>
        <family val="0"/>
        <charset val="1"/>
      </rPr>
      <t xml:space="preserve">/</t>
    </r>
    <r>
      <rPr>
        <sz val="8"/>
        <rFont val="Noto Sans CJK SC"/>
        <family val="2"/>
      </rPr>
      <t xml:space="preserve">西切换、用户</t>
    </r>
    <r>
      <rPr>
        <sz val="8"/>
        <rFont val="微软雅黑"/>
        <family val="0"/>
        <charset val="1"/>
      </rPr>
      <t xml:space="preserve">/</t>
    </r>
    <r>
      <rPr>
        <sz val="8"/>
        <rFont val="Noto Sans CJK SC"/>
        <family val="2"/>
      </rPr>
      <t xml:space="preserve">角色</t>
    </r>
    <r>
      <rPr>
        <sz val="8"/>
        <rFont val="微软雅黑"/>
        <family val="0"/>
        <charset val="1"/>
      </rPr>
      <t xml:space="preserve">/</t>
    </r>
    <r>
      <rPr>
        <sz val="8"/>
        <rFont val="Noto Sans CJK SC"/>
        <family val="2"/>
      </rPr>
      <t xml:space="preserve">权限</t>
    </r>
    <r>
      <rPr>
        <sz val="8"/>
        <rFont val="微软雅黑"/>
        <family val="0"/>
        <charset val="1"/>
      </rPr>
      <t xml:space="preserve">/</t>
    </r>
    <r>
      <rPr>
        <sz val="8"/>
        <rFont val="Noto Sans CJK SC"/>
        <family val="2"/>
      </rPr>
      <t xml:space="preserve">员工与工位技能；主动轮、从动轮产品型号与工艺参数（组件、厂商、重量</t>
    </r>
    <r>
      <rPr>
        <sz val="8"/>
        <rFont val="微软雅黑"/>
        <family val="0"/>
        <charset val="1"/>
      </rPr>
      <t xml:space="preserve">/</t>
    </r>
    <r>
      <rPr>
        <sz val="8"/>
        <rFont val="Noto Sans CJK SC"/>
        <family val="2"/>
      </rPr>
      <t xml:space="preserve">扭力</t>
    </r>
    <r>
      <rPr>
        <sz val="8"/>
        <rFont val="微软雅黑"/>
        <family val="0"/>
        <charset val="1"/>
      </rPr>
      <t xml:space="preserve">/</t>
    </r>
    <r>
      <rPr>
        <sz val="8"/>
        <rFont val="Noto Sans CJK SC"/>
        <family val="2"/>
      </rPr>
      <t xml:space="preserve">动平衡上下限）；工艺路线、工序、</t>
    </r>
    <r>
      <rPr>
        <sz val="8"/>
        <rFont val="微软雅黑"/>
        <family val="0"/>
        <charset val="1"/>
      </rPr>
      <t xml:space="preserve">15</t>
    </r>
    <r>
      <rPr>
        <sz val="8"/>
        <rFont val="Noto Sans CJK SC"/>
        <family val="2"/>
      </rPr>
      <t xml:space="preserve">工位启用与干涉跳过；电子作业指导（</t>
    </r>
    <r>
      <rPr>
        <sz val="8"/>
        <rFont val="微软雅黑"/>
        <family val="0"/>
        <charset val="1"/>
      </rPr>
      <t xml:space="preserve">PDM</t>
    </r>
    <r>
      <rPr>
        <sz val="8"/>
        <rFont val="Noto Sans CJK SC"/>
        <family val="2"/>
      </rPr>
      <t xml:space="preserve">图、预装提示、按车型切换）；拧紧工艺配方（枪、程序号、数量、不合格次数、使能）</t>
    </r>
  </si>
  <si>
    <r>
      <rPr>
        <sz val="8"/>
        <rFont val="Noto Sans CJK SC"/>
        <family val="2"/>
      </rPr>
      <t xml:space="preserve">业务规则与报表看板配置：条码规则与标签模板、上线打印；订单管理（生产计划、工单、编号规则、终端客户）；质量报表、</t>
    </r>
    <r>
      <rPr>
        <sz val="8"/>
        <rFont val="微软雅黑"/>
        <family val="0"/>
        <charset val="1"/>
      </rPr>
      <t xml:space="preserve">SPC</t>
    </r>
    <r>
      <rPr>
        <sz val="8"/>
        <rFont val="Noto Sans CJK SC"/>
        <family val="2"/>
      </rPr>
      <t xml:space="preserve">、电子看板、日志与追溯；</t>
    </r>
    <r>
      <rPr>
        <sz val="8"/>
        <rFont val="微软雅黑"/>
        <family val="0"/>
        <charset val="1"/>
      </rPr>
      <t xml:space="preserve">MES-SAP/PLC </t>
    </r>
    <r>
      <rPr>
        <sz val="8"/>
        <rFont val="Noto Sans CJK SC"/>
        <family val="2"/>
      </rPr>
      <t xml:space="preserve">预留接口</t>
    </r>
  </si>
  <si>
    <r>
      <rPr>
        <sz val="8"/>
        <rFont val="Noto Sans CJK SC"/>
        <family val="2"/>
      </rPr>
      <t xml:space="preserve">上线打码</t>
    </r>
    <r>
      <rPr>
        <sz val="8"/>
        <rFont val="微软雅黑"/>
        <family val="0"/>
        <charset val="1"/>
      </rPr>
      <t xml:space="preserve">/</t>
    </r>
    <r>
      <rPr>
        <sz val="8"/>
        <rFont val="Noto Sans CJK SC"/>
        <family val="2"/>
      </rPr>
      <t xml:space="preserve">标签打印统一调试（全部硬件上电、标签模板配置完成后进行）：标签模板、条码规则、总成二维码打印</t>
    </r>
  </si>
  <si>
    <r>
      <rPr>
        <sz val="8"/>
        <rFont val="Noto Sans CJK SC"/>
        <family val="2"/>
      </rPr>
      <t xml:space="preserve">配置设备采集接口：伺服压机</t>
    </r>
    <r>
      <rPr>
        <sz val="8"/>
        <rFont val="微软雅黑"/>
        <family val="0"/>
        <charset val="1"/>
      </rPr>
      <t xml:space="preserve">5</t>
    </r>
    <r>
      <rPr>
        <sz val="8"/>
        <rFont val="Noto Sans CJK SC"/>
        <family val="2"/>
      </rPr>
      <t xml:space="preserve">台、</t>
    </r>
    <r>
      <rPr>
        <sz val="8"/>
        <rFont val="微软雅黑"/>
        <family val="0"/>
        <charset val="1"/>
      </rPr>
      <t xml:space="preserve">ATLAS</t>
    </r>
    <r>
      <rPr>
        <sz val="8"/>
        <rFont val="Noto Sans CJK SC"/>
        <family val="2"/>
      </rPr>
      <t xml:space="preserve">拧紧枪</t>
    </r>
    <r>
      <rPr>
        <sz val="8"/>
        <rFont val="微软雅黑"/>
        <family val="0"/>
        <charset val="1"/>
      </rPr>
      <t xml:space="preserve">1</t>
    </r>
    <r>
      <rPr>
        <sz val="8"/>
        <rFont val="Noto Sans CJK SC"/>
        <family val="2"/>
      </rPr>
      <t xml:space="preserve">把、检测设备</t>
    </r>
    <r>
      <rPr>
        <sz val="8"/>
        <rFont val="微软雅黑"/>
        <family val="0"/>
        <charset val="1"/>
      </rPr>
      <t xml:space="preserve">2</t>
    </r>
    <r>
      <rPr>
        <sz val="8"/>
        <rFont val="Noto Sans CJK SC"/>
        <family val="2"/>
      </rPr>
      <t xml:space="preserve">台、</t>
    </r>
    <r>
      <rPr>
        <sz val="8"/>
        <rFont val="微软雅黑"/>
        <family val="0"/>
        <charset val="1"/>
      </rPr>
      <t xml:space="preserve">PLC</t>
    </r>
    <r>
      <rPr>
        <sz val="8"/>
        <rFont val="Noto Sans CJK SC"/>
        <family val="2"/>
      </rPr>
      <t xml:space="preserve">四类信号通讯参数</t>
    </r>
  </si>
  <si>
    <r>
      <rPr>
        <sz val="8"/>
        <rFont val="Noto Sans CJK SC"/>
        <family val="2"/>
      </rPr>
      <t xml:space="preserve">逐工位验证客户端：启动、扫码、</t>
    </r>
    <r>
      <rPr>
        <sz val="8"/>
        <rFont val="微软雅黑"/>
        <family val="0"/>
        <charset val="1"/>
      </rPr>
      <t xml:space="preserve">SOP</t>
    </r>
    <r>
      <rPr>
        <sz val="8"/>
        <rFont val="Noto Sans CJK SC"/>
        <family val="2"/>
      </rPr>
      <t xml:space="preserve">显示、防错、过站、数据上传</t>
    </r>
  </si>
  <si>
    <r>
      <rPr>
        <sz val="8"/>
        <rFont val="Noto Sans CJK SC"/>
        <family val="2"/>
      </rPr>
      <t xml:space="preserve">上线打码</t>
    </r>
    <r>
      <rPr>
        <sz val="8"/>
        <rFont val="微软雅黑"/>
        <family val="0"/>
        <charset val="1"/>
      </rPr>
      <t xml:space="preserve">/</t>
    </r>
    <r>
      <rPr>
        <sz val="8"/>
        <rFont val="Noto Sans CJK SC"/>
        <family val="2"/>
      </rPr>
      <t xml:space="preserve">条码绑定测试：总成二维码生成、打印、扫描、绑定</t>
    </r>
  </si>
  <si>
    <r>
      <rPr>
        <sz val="8"/>
        <rFont val="Noto Sans CJK SC"/>
        <family val="2"/>
      </rPr>
      <t xml:space="preserve">检测设备数据采集验证：</t>
    </r>
    <r>
      <rPr>
        <sz val="8"/>
        <rFont val="微软雅黑"/>
        <family val="0"/>
        <charset val="1"/>
      </rPr>
      <t xml:space="preserve">2</t>
    </r>
    <r>
      <rPr>
        <sz val="8"/>
        <rFont val="Noto Sans CJK SC"/>
        <family val="2"/>
      </rPr>
      <t xml:space="preserve">台检测设备数据上传、结果绑定</t>
    </r>
  </si>
  <si>
    <r>
      <rPr>
        <sz val="8"/>
        <rFont val="Noto Sans CJK SC"/>
        <family val="2"/>
      </rPr>
      <t xml:space="preserve">电子看板验证：订单内容、计划产量、实际产量、不良率、工位状态、</t>
    </r>
    <r>
      <rPr>
        <sz val="8"/>
        <rFont val="微软雅黑"/>
        <family val="0"/>
        <charset val="1"/>
      </rPr>
      <t xml:space="preserve">SPC</t>
    </r>
    <r>
      <rPr>
        <sz val="8"/>
        <rFont val="Noto Sans CJK SC"/>
        <family val="2"/>
      </rPr>
      <t xml:space="preserve">图</t>
    </r>
  </si>
  <si>
    <r>
      <rPr>
        <sz val="8"/>
        <rFont val="Noto Sans CJK SC"/>
        <family val="2"/>
      </rPr>
      <t xml:space="preserve">质量报告与追溯验证：正反向追溯、树形展示、报表导出</t>
    </r>
    <r>
      <rPr>
        <sz val="8"/>
        <rFont val="微软雅黑"/>
        <family val="0"/>
        <charset val="1"/>
      </rPr>
      <t xml:space="preserve">Excel</t>
    </r>
    <r>
      <rPr>
        <sz val="8"/>
        <rFont val="Noto Sans CJK SC"/>
        <family val="2"/>
      </rPr>
      <t xml:space="preserve">、工号姓名显示</t>
    </r>
  </si>
  <si>
    <r>
      <rPr>
        <sz val="8"/>
        <rFont val="Noto Sans CJK SC"/>
        <family val="2"/>
      </rPr>
      <t xml:space="preserve">性能验证：操作延时≤</t>
    </r>
    <r>
      <rPr>
        <sz val="8"/>
        <rFont val="微软雅黑"/>
        <family val="0"/>
        <charset val="1"/>
      </rPr>
      <t xml:space="preserve">1</t>
    </r>
    <r>
      <rPr>
        <sz val="8"/>
        <rFont val="Noto Sans CJK SC"/>
        <family val="2"/>
      </rPr>
      <t xml:space="preserve">秒、数据库查询≤</t>
    </r>
    <r>
      <rPr>
        <sz val="8"/>
        <rFont val="微软雅黑"/>
        <family val="0"/>
        <charset val="1"/>
      </rPr>
      <t xml:space="preserve">4</t>
    </r>
    <r>
      <rPr>
        <sz val="8"/>
        <rFont val="Noto Sans CJK SC"/>
        <family val="2"/>
      </rPr>
      <t xml:space="preserve">秒、并发访问、故障恢复、数据不丢失</t>
    </r>
  </si>
  <si>
    <r>
      <rPr>
        <sz val="8"/>
        <rFont val="微软雅黑"/>
        <family val="0"/>
        <charset val="1"/>
      </rPr>
      <t xml:space="preserve">MES</t>
    </r>
    <r>
      <rPr>
        <sz val="8"/>
        <rFont val="Noto Sans CJK SC"/>
        <family val="2"/>
      </rPr>
      <t xml:space="preserve">与</t>
    </r>
    <r>
      <rPr>
        <sz val="8"/>
        <rFont val="微软雅黑"/>
        <family val="0"/>
        <charset val="1"/>
      </rPr>
      <t xml:space="preserve">PLC</t>
    </r>
    <r>
      <rPr>
        <sz val="8"/>
        <rFont val="Noto Sans CJK SC"/>
        <family val="2"/>
      </rPr>
      <t xml:space="preserve">联调：工件到位、保存数据、保存完成、验证完成、设备监控、生产控制</t>
    </r>
  </si>
  <si>
    <r>
      <rPr>
        <sz val="8"/>
        <rFont val="微软雅黑"/>
        <family val="0"/>
        <charset val="1"/>
      </rPr>
      <t xml:space="preserve">MES</t>
    </r>
    <r>
      <rPr>
        <sz val="8"/>
        <rFont val="Noto Sans CJK SC"/>
        <family val="2"/>
      </rPr>
      <t xml:space="preserve">与工厂</t>
    </r>
    <r>
      <rPr>
        <sz val="8"/>
        <rFont val="微软雅黑"/>
        <family val="0"/>
        <charset val="1"/>
      </rPr>
      <t xml:space="preserve">MES/SAP</t>
    </r>
    <r>
      <rPr>
        <sz val="8"/>
        <rFont val="Noto Sans CJK SC"/>
        <family val="2"/>
      </rPr>
      <t xml:space="preserve">接口联调（如有）</t>
    </r>
  </si>
  <si>
    <r>
      <rPr>
        <sz val="8"/>
        <rFont val="Noto Sans CJK SC"/>
        <family val="2"/>
      </rPr>
      <t xml:space="preserve">带产品试生产：小批量验证，记录</t>
    </r>
    <r>
      <rPr>
        <sz val="8"/>
        <rFont val="微软雅黑"/>
        <family val="0"/>
        <charset val="1"/>
      </rPr>
      <t xml:space="preserve">MES</t>
    </r>
    <r>
      <rPr>
        <sz val="8"/>
        <rFont val="Noto Sans CJK SC"/>
        <family val="2"/>
      </rPr>
      <t xml:space="preserve">问题、设备采集问题、网络问题</t>
    </r>
  </si>
  <si>
    <r>
      <rPr>
        <sz val="8"/>
        <rFont val="Noto Sans CJK SC"/>
        <family val="2"/>
      </rPr>
      <t xml:space="preserve">生产报表、</t>
    </r>
    <r>
      <rPr>
        <sz val="8"/>
        <rFont val="微软雅黑"/>
        <family val="0"/>
        <charset val="1"/>
      </rPr>
      <t xml:space="preserve">SPC</t>
    </r>
    <r>
      <rPr>
        <sz val="8"/>
        <rFont val="Noto Sans CJK SC"/>
        <family val="2"/>
      </rPr>
      <t xml:space="preserve">、看板、日志、用户权限综合验证</t>
    </r>
  </si>
  <si>
    <r>
      <rPr>
        <sz val="8"/>
        <rFont val="Noto Sans CJK SC"/>
        <family val="2"/>
      </rPr>
      <t xml:space="preserve">远程调试：缺陷修复、参数优化、陪产支持（</t>
    </r>
    <r>
      <rPr>
        <sz val="8"/>
        <rFont val="微软雅黑"/>
        <family val="0"/>
        <charset val="1"/>
      </rPr>
      <t xml:space="preserve">1</t>
    </r>
    <r>
      <rPr>
        <sz val="8"/>
        <rFont val="Noto Sans CJK SC"/>
        <family val="2"/>
      </rPr>
      <t xml:space="preserve">人</t>
    </r>
    <r>
      <rPr>
        <sz val="8"/>
        <rFont val="微软雅黑"/>
        <family val="0"/>
        <charset val="1"/>
      </rPr>
      <t xml:space="preserve">1</t>
    </r>
    <r>
      <rPr>
        <sz val="8"/>
        <rFont val="Noto Sans CJK SC"/>
        <family val="2"/>
      </rPr>
      <t xml:space="preserve">个月）</t>
    </r>
  </si>
  <si>
    <r>
      <rPr>
        <i val="true"/>
        <sz val="8"/>
        <rFont val="Noto Sans CJK SC"/>
        <family val="2"/>
      </rPr>
      <t xml:space="preserve">注：色块对应阶段，明细见“计划”页；质保期</t>
    </r>
    <r>
      <rPr>
        <i val="true"/>
        <sz val="8"/>
        <rFont val="微软雅黑"/>
        <family val="0"/>
        <charset val="1"/>
      </rPr>
      <t xml:space="preserve">1</t>
    </r>
    <r>
      <rPr>
        <i val="true"/>
        <sz val="8"/>
        <rFont val="Noto Sans CJK SC"/>
        <family val="2"/>
      </rPr>
      <t xml:space="preserve">年另计。</t>
    </r>
  </si>
  <si>
    <r>
      <rPr>
        <b val="true"/>
        <sz val="13"/>
        <color rgb="FFFFFFFF"/>
        <rFont val="微软雅黑"/>
        <family val="0"/>
        <charset val="1"/>
      </rPr>
      <t xml:space="preserve">15</t>
    </r>
    <r>
      <rPr>
        <b val="true"/>
        <sz val="13"/>
        <color rgb="FFFFFFFF"/>
        <rFont val="Noto Sans CJK SC"/>
        <family val="2"/>
      </rPr>
      <t xml:space="preserve">工位安装 </t>
    </r>
    <r>
      <rPr>
        <b val="true"/>
        <sz val="13"/>
        <color rgb="FFFFFFFF"/>
        <rFont val="微软雅黑"/>
        <family val="0"/>
        <charset val="1"/>
      </rPr>
      <t xml:space="preserve">/ </t>
    </r>
    <r>
      <rPr>
        <b val="true"/>
        <sz val="13"/>
        <color rgb="FFFFFFFF"/>
        <rFont val="Noto Sans CJK SC"/>
        <family val="2"/>
      </rPr>
      <t xml:space="preserve">上电 </t>
    </r>
    <r>
      <rPr>
        <b val="true"/>
        <sz val="13"/>
        <color rgb="FFFFFFFF"/>
        <rFont val="微软雅黑"/>
        <family val="0"/>
        <charset val="1"/>
      </rPr>
      <t xml:space="preserve">/ </t>
    </r>
    <r>
      <rPr>
        <b val="true"/>
        <sz val="13"/>
        <color rgb="FFFFFFFF"/>
        <rFont val="Noto Sans CJK SC"/>
        <family val="2"/>
      </rPr>
      <t xml:space="preserve">客户端 </t>
    </r>
    <r>
      <rPr>
        <b val="true"/>
        <sz val="13"/>
        <color rgb="FFFFFFFF"/>
        <rFont val="微软雅黑"/>
        <family val="0"/>
        <charset val="1"/>
      </rPr>
      <t xml:space="preserve">/ </t>
    </r>
    <r>
      <rPr>
        <b val="true"/>
        <sz val="13"/>
        <color rgb="FFFFFFFF"/>
        <rFont val="Noto Sans CJK SC"/>
        <family val="2"/>
      </rPr>
      <t xml:space="preserve">扫码 逐站签认表（★</t>
    </r>
    <r>
      <rPr>
        <b val="true"/>
        <sz val="13"/>
        <color rgb="FFFFFFFF"/>
        <rFont val="微软雅黑"/>
        <family val="0"/>
        <charset val="1"/>
      </rPr>
      <t xml:space="preserve">W11–W15 </t>
    </r>
    <r>
      <rPr>
        <b val="true"/>
        <sz val="13"/>
        <color rgb="FFFFFFFF"/>
        <rFont val="Noto Sans CJK SC"/>
        <family val="2"/>
      </rPr>
      <t xml:space="preserve">扫码枪缺口）</t>
    </r>
  </si>
  <si>
    <t xml:space="preserve">工位</t>
  </si>
  <si>
    <t xml:space="preserve">一体机到货</t>
  </si>
  <si>
    <t xml:space="preserve">支架安装</t>
  </si>
  <si>
    <t xml:space="preserve">上电</t>
  </si>
  <si>
    <t xml:space="preserve">网络</t>
  </si>
  <si>
    <t xml:space="preserve">客户端</t>
  </si>
  <si>
    <t xml:space="preserve">扫码枪状态</t>
  </si>
  <si>
    <t xml:space="preserve">ESOP</t>
  </si>
  <si>
    <r>
      <rPr>
        <b val="true"/>
        <sz val="10"/>
        <rFont val="Noto Sans CJK SC"/>
        <family val="2"/>
      </rPr>
      <t xml:space="preserve">扫码</t>
    </r>
    <r>
      <rPr>
        <b val="true"/>
        <sz val="10"/>
        <rFont val="微软雅黑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手工录入</t>
    </r>
  </si>
  <si>
    <t xml:space="preserve">签认人</t>
  </si>
  <si>
    <t xml:space="preserve">日期</t>
  </si>
  <si>
    <t xml:space="preserve">W01</t>
  </si>
  <si>
    <t xml:space="preserve">□</t>
  </si>
  <si>
    <t xml:space="preserve">已到货</t>
  </si>
  <si>
    <t xml:space="preserve">扫码</t>
  </si>
  <si>
    <t xml:space="preserve">W02</t>
  </si>
  <si>
    <t xml:space="preserve">W03</t>
  </si>
  <si>
    <t xml:space="preserve">W04</t>
  </si>
  <si>
    <t xml:space="preserve">W05</t>
  </si>
  <si>
    <t xml:space="preserve">W06</t>
  </si>
  <si>
    <t xml:space="preserve">W07</t>
  </si>
  <si>
    <t xml:space="preserve">W08</t>
  </si>
  <si>
    <t xml:space="preserve">W09</t>
  </si>
  <si>
    <t xml:space="preserve">W10</t>
  </si>
  <si>
    <t xml:space="preserve">W11</t>
  </si>
  <si>
    <r>
      <rPr>
        <sz val="9"/>
        <rFont val="Noto Sans CJK SC"/>
        <family val="2"/>
      </rPr>
      <t xml:space="preserve">缺（借用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串口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补发）</t>
    </r>
  </si>
  <si>
    <t xml:space="preserve">手工录入</t>
  </si>
  <si>
    <t xml:space="preserve">W12</t>
  </si>
  <si>
    <t xml:space="preserve">W13</t>
  </si>
  <si>
    <t xml:space="preserve">W14</t>
  </si>
  <si>
    <t xml:space="preserve">W15</t>
  </si>
  <si>
    <r>
      <rPr>
        <sz val="9"/>
        <color rgb="FFC00000"/>
        <rFont val="Noto Sans CJK SC"/>
        <family val="2"/>
      </rPr>
      <t xml:space="preserve">说明：扫码枪实到</t>
    </r>
    <r>
      <rPr>
        <sz val="9"/>
        <color rgb="FFC00000"/>
        <rFont val="微软雅黑"/>
        <family val="0"/>
        <charset val="1"/>
      </rPr>
      <t xml:space="preserve">10</t>
    </r>
    <r>
      <rPr>
        <sz val="9"/>
        <color rgb="FFC00000"/>
        <rFont val="Noto Sans CJK SC"/>
        <family val="2"/>
      </rPr>
      <t xml:space="preserve">把；缺口</t>
    </r>
    <r>
      <rPr>
        <sz val="9"/>
        <color rgb="FFC00000"/>
        <rFont val="微软雅黑"/>
        <family val="0"/>
        <charset val="1"/>
      </rPr>
      <t xml:space="preserve">5</t>
    </r>
    <r>
      <rPr>
        <sz val="9"/>
        <color rgb="FFC00000"/>
        <rFont val="Noto Sans CJK SC"/>
        <family val="2"/>
      </rPr>
      <t xml:space="preserve">把按“借用其他工位</t>
    </r>
    <r>
      <rPr>
        <sz val="9"/>
        <color rgb="FFC00000"/>
        <rFont val="微软雅黑"/>
        <family val="0"/>
        <charset val="1"/>
      </rPr>
      <t xml:space="preserve">/</t>
    </r>
    <r>
      <rPr>
        <sz val="9"/>
        <color rgb="FFC00000"/>
        <rFont val="Noto Sans CJK SC"/>
        <family val="2"/>
      </rPr>
      <t xml:space="preserve">递缇随行带</t>
    </r>
    <r>
      <rPr>
        <sz val="9"/>
        <color rgb="FFC00000"/>
        <rFont val="微软雅黑"/>
        <family val="0"/>
        <charset val="1"/>
      </rPr>
      <t xml:space="preserve">1</t>
    </r>
    <r>
      <rPr>
        <sz val="9"/>
        <color rgb="FFC00000"/>
        <rFont val="Noto Sans CJK SC"/>
        <family val="2"/>
      </rPr>
      <t xml:space="preserve">把串口枪（</t>
    </r>
    <r>
      <rPr>
        <sz val="9"/>
        <color rgb="FFC00000"/>
        <rFont val="微软雅黑"/>
        <family val="0"/>
        <charset val="1"/>
      </rPr>
      <t xml:space="preserve">RS232</t>
    </r>
    <r>
      <rPr>
        <sz val="9"/>
        <color rgb="FFC00000"/>
        <rFont val="Noto Sans CJK SC"/>
        <family val="2"/>
      </rPr>
      <t xml:space="preserve">直连一体机</t>
    </r>
    <r>
      <rPr>
        <sz val="9"/>
        <color rgb="FFC00000"/>
        <rFont val="微软雅黑"/>
        <family val="0"/>
        <charset val="1"/>
      </rPr>
      <t xml:space="preserve">COM</t>
    </r>
    <r>
      <rPr>
        <sz val="9"/>
        <color rgb="FFC00000"/>
        <rFont val="Noto Sans CJK SC"/>
        <family val="2"/>
      </rPr>
      <t xml:space="preserve">口）</t>
    </r>
    <r>
      <rPr>
        <sz val="9"/>
        <color rgb="FFC00000"/>
        <rFont val="微软雅黑"/>
        <family val="0"/>
        <charset val="1"/>
      </rPr>
      <t xml:space="preserve">/</t>
    </r>
    <r>
      <rPr>
        <sz val="9"/>
        <color rgb="FFC00000"/>
        <rFont val="Noto Sans CJK SC"/>
        <family val="2"/>
      </rPr>
      <t xml:space="preserve">本地采购或国内补发”处置。缺枪工位先以手工录入序列号＋双人复核上线，扫码枪到位后仅改配置，无需二次开发。</t>
    </r>
  </si>
  <si>
    <t xml:space="preserve">硬件与软件清单（含供货方、到货状态）</t>
  </si>
  <si>
    <t xml:space="preserve">名称</t>
  </si>
  <si>
    <t xml:space="preserve">内容</t>
  </si>
  <si>
    <t xml:space="preserve">品牌</t>
  </si>
  <si>
    <t xml:space="preserve">单位</t>
  </si>
  <si>
    <t xml:space="preserve">数量</t>
  </si>
  <si>
    <t xml:space="preserve">提供方</t>
  </si>
  <si>
    <t xml:space="preserve">到货状态</t>
  </si>
  <si>
    <t xml:space="preserve">备注</t>
  </si>
  <si>
    <t xml:space="preserve">一</t>
  </si>
  <si>
    <t xml:space="preserve">机房硬件服务器设备</t>
  </si>
  <si>
    <t xml:space="preserve">塔式服务器</t>
  </si>
  <si>
    <r>
      <rPr>
        <sz val="9"/>
        <rFont val="Noto Sans CJK SC"/>
        <family val="2"/>
      </rPr>
      <t xml:space="preserve">联想（</t>
    </r>
    <r>
      <rPr>
        <sz val="9"/>
        <rFont val="微软雅黑"/>
        <family val="0"/>
        <charset val="1"/>
      </rPr>
      <t xml:space="preserve">Lenovo</t>
    </r>
    <r>
      <rPr>
        <sz val="9"/>
        <rFont val="Noto Sans CJK SC"/>
        <family val="2"/>
      </rPr>
      <t xml:space="preserve">）塔式服务器至强</t>
    </r>
    <r>
      <rPr>
        <sz val="9"/>
        <rFont val="微软雅黑"/>
        <family val="0"/>
        <charset val="1"/>
      </rPr>
      <t xml:space="preserve">E2224G 32G</t>
    </r>
    <r>
      <rPr>
        <sz val="9"/>
        <rFont val="Noto Sans CJK SC"/>
        <family val="2"/>
      </rPr>
      <t xml:space="preserve">内存丨</t>
    </r>
    <r>
      <rPr>
        <sz val="9"/>
        <rFont val="微软雅黑"/>
        <family val="0"/>
        <charset val="1"/>
      </rPr>
      <t xml:space="preserve">256G</t>
    </r>
    <r>
      <rPr>
        <sz val="9"/>
        <rFont val="Noto Sans CJK SC"/>
        <family val="2"/>
      </rPr>
      <t xml:space="preserve">固态</t>
    </r>
    <r>
      <rPr>
        <sz val="9"/>
        <rFont val="微软雅黑"/>
        <family val="0"/>
        <charset val="1"/>
      </rPr>
      <t xml:space="preserve">+2*1TSATA</t>
    </r>
    <r>
      <rPr>
        <sz val="9"/>
        <rFont val="Noto Sans CJK SC"/>
        <family val="2"/>
      </rPr>
      <t xml:space="preserve">硬盘</t>
    </r>
  </si>
  <si>
    <t xml:space="preserve">Lenovo</t>
  </si>
  <si>
    <t xml:space="preserve">台</t>
  </si>
  <si>
    <t xml:space="preserve">待清点</t>
  </si>
  <si>
    <t xml:space="preserve">显示器及键鼠</t>
  </si>
  <si>
    <r>
      <rPr>
        <sz val="9"/>
        <rFont val="微软雅黑"/>
        <family val="0"/>
        <charset val="1"/>
      </rPr>
      <t xml:space="preserve">21</t>
    </r>
    <r>
      <rPr>
        <sz val="9"/>
        <rFont val="Noto Sans CJK SC"/>
        <family val="2"/>
      </rPr>
      <t xml:space="preserve">寸</t>
    </r>
  </si>
  <si>
    <t xml:space="preserve">三星</t>
  </si>
  <si>
    <t xml:space="preserve">数据库软件</t>
  </si>
  <si>
    <r>
      <rPr>
        <sz val="9"/>
        <rFont val="微软雅黑"/>
        <family val="0"/>
        <charset val="1"/>
      </rPr>
      <t xml:space="preserve">SQL Server 2012 R2/2016</t>
    </r>
    <r>
      <rPr>
        <sz val="9"/>
        <rFont val="Noto Sans CJK SC"/>
        <family val="2"/>
      </rPr>
      <t xml:space="preserve">及以上</t>
    </r>
  </si>
  <si>
    <t xml:space="preserve">微软</t>
  </si>
  <si>
    <t xml:space="preserve">套</t>
  </si>
  <si>
    <t xml:space="preserve">操作系统</t>
  </si>
  <si>
    <t xml:space="preserve">Windows Server 2016</t>
  </si>
  <si>
    <t xml:space="preserve">服务器机柜</t>
  </si>
  <si>
    <r>
      <rPr>
        <sz val="9"/>
        <rFont val="微软雅黑"/>
        <family val="0"/>
        <charset val="1"/>
      </rPr>
      <t xml:space="preserve">42U</t>
    </r>
    <r>
      <rPr>
        <sz val="9"/>
        <rFont val="Noto Sans CJK SC"/>
        <family val="2"/>
      </rPr>
      <t xml:space="preserve">服务器机柜，</t>
    </r>
    <r>
      <rPr>
        <sz val="9"/>
        <rFont val="微软雅黑"/>
        <family val="0"/>
        <charset val="1"/>
      </rPr>
      <t xml:space="preserve">600*600*2000</t>
    </r>
  </si>
  <si>
    <t xml:space="preserve">图腾</t>
  </si>
  <si>
    <t xml:space="preserve">网络交换机</t>
  </si>
  <si>
    <r>
      <rPr>
        <sz val="9"/>
        <rFont val="微软雅黑"/>
        <family val="0"/>
        <charset val="1"/>
      </rPr>
      <t xml:space="preserve">24</t>
    </r>
    <r>
      <rPr>
        <sz val="9"/>
        <rFont val="Noto Sans CJK SC"/>
        <family val="2"/>
      </rPr>
      <t xml:space="preserve">口千兆以太网</t>
    </r>
    <r>
      <rPr>
        <sz val="9"/>
        <rFont val="微软雅黑"/>
        <family val="0"/>
        <charset val="1"/>
      </rPr>
      <t xml:space="preserve">+4</t>
    </r>
    <r>
      <rPr>
        <sz val="9"/>
        <rFont val="Noto Sans CJK SC"/>
        <family val="2"/>
      </rPr>
      <t xml:space="preserve">千兆光纤口网络</t>
    </r>
  </si>
  <si>
    <t xml:space="preserve">华为</t>
  </si>
  <si>
    <t xml:space="preserve">重庆以弗德</t>
  </si>
  <si>
    <t xml:space="preserve">需甲方开放配置权限</t>
  </si>
  <si>
    <r>
      <rPr>
        <sz val="9"/>
        <rFont val="微软雅黑"/>
        <family val="0"/>
        <charset val="1"/>
      </rPr>
      <t xml:space="preserve">UPS</t>
    </r>
    <r>
      <rPr>
        <sz val="9"/>
        <rFont val="Noto Sans CJK SC"/>
        <family val="2"/>
      </rPr>
      <t xml:space="preserve">电源</t>
    </r>
  </si>
  <si>
    <t xml:space="preserve">3KVA</t>
  </si>
  <si>
    <t xml:space="preserve">APC/SANTAK</t>
  </si>
  <si>
    <t xml:space="preserve">二</t>
  </si>
  <si>
    <t xml:space="preserve">现场硬件设备</t>
  </si>
  <si>
    <t xml:space="preserve">作业指导显示工位</t>
  </si>
  <si>
    <t xml:space="preserve">工位一体机</t>
  </si>
  <si>
    <r>
      <rPr>
        <sz val="9"/>
        <rFont val="微软雅黑"/>
        <family val="0"/>
        <charset val="1"/>
      </rPr>
      <t xml:space="preserve">PPC-3321QK-HR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J6412/8G</t>
    </r>
    <r>
      <rPr>
        <sz val="9"/>
        <rFont val="Noto Sans CJK SC"/>
        <family val="2"/>
      </rPr>
      <t xml:space="preserve">内存</t>
    </r>
    <r>
      <rPr>
        <sz val="9"/>
        <rFont val="微软雅黑"/>
        <family val="0"/>
        <charset val="1"/>
      </rPr>
      <t xml:space="preserve">/256G SSD/3*RS232/2*USB/Lan*2/</t>
    </r>
    <r>
      <rPr>
        <sz val="9"/>
        <rFont val="Noto Sans CJK SC"/>
        <family val="2"/>
      </rPr>
      <t xml:space="preserve">无风扇</t>
    </r>
    <r>
      <rPr>
        <sz val="9"/>
        <rFont val="微软雅黑"/>
        <family val="0"/>
        <charset val="1"/>
      </rPr>
      <t xml:space="preserve">/win10 Iot</t>
    </r>
  </si>
  <si>
    <t xml:space="preserve">华北工控</t>
  </si>
  <si>
    <t xml:space="preserve">已到货（晚到）</t>
  </si>
  <si>
    <t xml:space="preserve">★原未发运后补发，集中安装</t>
  </si>
  <si>
    <t xml:space="preserve">扫码枪</t>
  </si>
  <si>
    <r>
      <rPr>
        <sz val="9"/>
        <rFont val="微软雅黑"/>
        <family val="0"/>
        <charset val="1"/>
      </rPr>
      <t xml:space="preserve">DS8178-DP/USB</t>
    </r>
    <r>
      <rPr>
        <sz val="9"/>
        <rFont val="Noto Sans CJK SC"/>
        <family val="2"/>
      </rPr>
      <t xml:space="preserve">口 有线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无线二维码扫描枪</t>
    </r>
  </si>
  <si>
    <t xml:space="preserve">斑马</t>
  </si>
  <si>
    <r>
      <rPr>
        <sz val="9"/>
        <rFont val="微软雅黑"/>
        <family val="0"/>
        <charset val="1"/>
      </rPr>
      <t xml:space="preserve">10</t>
    </r>
    <r>
      <rPr>
        <sz val="9"/>
        <rFont val="Noto Sans CJK SC"/>
        <family val="2"/>
      </rPr>
      <t xml:space="preserve">把（缺</t>
    </r>
    <r>
      <rPr>
        <sz val="9"/>
        <rFont val="微软雅黑"/>
        <family val="0"/>
        <charset val="1"/>
      </rPr>
      <t xml:space="preserve">5</t>
    </r>
    <r>
      <rPr>
        <sz val="9"/>
        <rFont val="Noto Sans CJK SC"/>
        <family val="2"/>
      </rPr>
      <t xml:space="preserve">把）</t>
    </r>
  </si>
  <si>
    <r>
      <rPr>
        <sz val="9"/>
        <rFont val="Noto Sans CJK SC"/>
        <family val="2"/>
      </rPr>
      <t xml:space="preserve">★缺口</t>
    </r>
    <r>
      <rPr>
        <sz val="9"/>
        <rFont val="微软雅黑"/>
        <family val="0"/>
        <charset val="1"/>
      </rPr>
      <t xml:space="preserve">5</t>
    </r>
    <r>
      <rPr>
        <sz val="9"/>
        <rFont val="Noto Sans CJK SC"/>
        <family val="2"/>
      </rPr>
      <t xml:space="preserve">把：借用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串口枪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补发</t>
    </r>
  </si>
  <si>
    <t xml:space="preserve">工位显示大屏幕</t>
  </si>
  <si>
    <r>
      <rPr>
        <sz val="9"/>
        <rFont val="微软雅黑"/>
        <family val="0"/>
        <charset val="1"/>
      </rPr>
      <t xml:space="preserve">75</t>
    </r>
    <r>
      <rPr>
        <sz val="9"/>
        <rFont val="Noto Sans CJK SC"/>
        <family val="2"/>
      </rPr>
      <t xml:space="preserve">寸电视</t>
    </r>
    <r>
      <rPr>
        <sz val="9"/>
        <rFont val="微软雅黑"/>
        <family val="0"/>
        <charset val="1"/>
      </rPr>
      <t xml:space="preserve">+</t>
    </r>
    <r>
      <rPr>
        <sz val="9"/>
        <rFont val="Noto Sans CJK SC"/>
        <family val="2"/>
      </rPr>
      <t xml:space="preserve">盒式</t>
    </r>
    <r>
      <rPr>
        <sz val="9"/>
        <rFont val="微软雅黑"/>
        <family val="0"/>
        <charset val="1"/>
      </rPr>
      <t xml:space="preserve">PC</t>
    </r>
  </si>
  <si>
    <t xml:space="preserve">小米</t>
  </si>
  <si>
    <t xml:space="preserve">一体机安装支架</t>
  </si>
  <si>
    <t xml:space="preserve">定制一体机安装支架</t>
  </si>
  <si>
    <t xml:space="preserve">设备安装辅材</t>
  </si>
  <si>
    <t xml:space="preserve">桥架，网线，电源线等</t>
  </si>
  <si>
    <t xml:space="preserve">三</t>
  </si>
  <si>
    <t xml:space="preserve">软件模块</t>
  </si>
  <si>
    <t xml:space="preserve">订单管理</t>
  </si>
  <si>
    <t xml:space="preserve">生产订单管理、计划排产、生产执行、生产报工管理</t>
  </si>
  <si>
    <t xml:space="preserve">—</t>
  </si>
  <si>
    <t xml:space="preserve">上线打印功能</t>
  </si>
  <si>
    <t xml:space="preserve">标签打印，条码规则管理</t>
  </si>
  <si>
    <t xml:space="preserve">打码硬件不在供货清单</t>
  </si>
  <si>
    <t xml:space="preserve">零件条码采集</t>
  </si>
  <si>
    <t xml:space="preserve">零件条码识别，零件条码绑定</t>
  </si>
  <si>
    <t xml:space="preserve">过程数据管理</t>
  </si>
  <si>
    <t xml:space="preserve">产品进站数据，出站数据采集</t>
  </si>
  <si>
    <t xml:space="preserve">工艺管理</t>
  </si>
  <si>
    <t xml:space="preserve">工艺信息配置、操作工序管理</t>
  </si>
  <si>
    <t xml:space="preserve">质量报告管理</t>
  </si>
  <si>
    <t xml:space="preserve">生产质量数据报告</t>
  </si>
  <si>
    <t xml:space="preserve">电子看板</t>
  </si>
  <si>
    <t xml:space="preserve">产量统计，质量看板，合格率</t>
  </si>
  <si>
    <t xml:space="preserve">统计分析模块</t>
  </si>
  <si>
    <t xml:space="preserve">合格率统计，生产数据统计报表</t>
  </si>
  <si>
    <t xml:space="preserve">设备数据采集模块</t>
  </si>
  <si>
    <t xml:space="preserve">与伺服压机通讯接口</t>
  </si>
  <si>
    <t xml:space="preserve">伺服压机数据采集</t>
  </si>
  <si>
    <r>
      <rPr>
        <sz val="9"/>
        <rFont val="微软雅黑"/>
        <family val="0"/>
        <charset val="1"/>
      </rPr>
      <t xml:space="preserve">★5</t>
    </r>
    <r>
      <rPr>
        <sz val="9"/>
        <rFont val="Noto Sans CJK SC"/>
        <family val="2"/>
      </rPr>
      <t xml:space="preserve">台，</t>
    </r>
    <r>
      <rPr>
        <sz val="9"/>
        <rFont val="微软雅黑"/>
        <family val="0"/>
        <charset val="1"/>
      </rPr>
      <t xml:space="preserve">CVT</t>
    </r>
    <r>
      <rPr>
        <sz val="9"/>
        <rFont val="Noto Sans CJK SC"/>
        <family val="2"/>
      </rPr>
      <t xml:space="preserve">二线；国内调试，不含国外调试费用</t>
    </r>
  </si>
  <si>
    <t xml:space="preserve">拧紧控制</t>
  </si>
  <si>
    <r>
      <rPr>
        <sz val="9"/>
        <rFont val="微软雅黑"/>
        <family val="0"/>
        <charset val="1"/>
      </rPr>
      <t xml:space="preserve">1</t>
    </r>
    <r>
      <rPr>
        <sz val="9"/>
        <rFont val="Noto Sans CJK SC"/>
        <family val="2"/>
      </rPr>
      <t xml:space="preserve">套拧紧工具的数据采集</t>
    </r>
  </si>
  <si>
    <r>
      <rPr>
        <sz val="9"/>
        <rFont val="微软雅黑"/>
        <family val="0"/>
        <charset val="1"/>
      </rPr>
      <t xml:space="preserve">ATLAS</t>
    </r>
    <r>
      <rPr>
        <sz val="9"/>
        <rFont val="Noto Sans CJK SC"/>
        <family val="2"/>
      </rPr>
      <t xml:space="preserve">拧紧枪（主动轮）</t>
    </r>
  </si>
  <si>
    <t xml:space="preserve">电子操作指导</t>
  </si>
  <si>
    <t xml:space="preserve">工艺电子操作指导</t>
  </si>
  <si>
    <t xml:space="preserve">与检测设备通讯接口</t>
  </si>
  <si>
    <t xml:space="preserve">检测设备数据采集</t>
  </si>
  <si>
    <r>
      <rPr>
        <b val="true"/>
        <sz val="14"/>
        <color rgb="FFFFFFFF"/>
        <rFont val="Noto Sans CJK SC"/>
        <family val="2"/>
      </rPr>
      <t xml:space="preserve">墨西哥</t>
    </r>
    <r>
      <rPr>
        <b val="true"/>
        <sz val="14"/>
        <color rgb="FFFFFFFF"/>
        <rFont val="微软雅黑"/>
        <family val="0"/>
        <charset val="1"/>
      </rPr>
      <t xml:space="preserve">CVT</t>
    </r>
    <r>
      <rPr>
        <b val="true"/>
        <sz val="14"/>
        <color rgb="FFFFFFFF"/>
        <rFont val="Noto Sans CJK SC"/>
        <family val="2"/>
      </rPr>
      <t xml:space="preserve">总成装配线</t>
    </r>
    <r>
      <rPr>
        <b val="true"/>
        <sz val="14"/>
        <color rgb="FFFFFFFF"/>
        <rFont val="微软雅黑"/>
        <family val="0"/>
        <charset val="1"/>
      </rPr>
      <t xml:space="preserve">MES</t>
    </r>
    <r>
      <rPr>
        <b val="true"/>
        <sz val="14"/>
        <color rgb="FFFFFFFF"/>
        <rFont val="Noto Sans CJK SC"/>
        <family val="2"/>
      </rPr>
      <t xml:space="preserve">系统 — 现场实施计划（说明与修订）</t>
    </r>
  </si>
  <si>
    <t xml:space="preserve">一、基线参数</t>
  </si>
  <si>
    <t xml:space="preserve">参数</t>
  </si>
  <si>
    <t xml:space="preserve">值</t>
  </si>
  <si>
    <t xml:space="preserve">说明</t>
  </si>
  <si>
    <t xml:space="preserve">计划开始日</t>
  </si>
  <si>
    <t xml:space="preserve">★修改此格，计划页所有日期与甘特周次自动联动</t>
  </si>
  <si>
    <t xml:space="preserve">现场实施周期（自然日）</t>
  </si>
  <si>
    <t xml:space="preserve">到货清点至现场交接（含并行作业）</t>
  </si>
  <si>
    <t xml:space="preserve">试运行周期（自然日）</t>
  </si>
  <si>
    <r>
      <rPr>
        <sz val="10"/>
        <rFont val="Noto Sans CJK SC"/>
        <family val="2"/>
      </rPr>
      <t xml:space="preserve">生产</t>
    </r>
    <r>
      <rPr>
        <sz val="10"/>
        <rFont val="微软雅黑"/>
        <family val="0"/>
        <charset val="1"/>
      </rPr>
      <t xml:space="preserve">3</t>
    </r>
    <r>
      <rPr>
        <sz val="10"/>
        <rFont val="Noto Sans CJK SC"/>
        <family val="2"/>
      </rPr>
      <t xml:space="preserve">个月或</t>
    </r>
    <r>
      <rPr>
        <sz val="10"/>
        <rFont val="微软雅黑"/>
        <family val="0"/>
        <charset val="1"/>
      </rPr>
      <t xml:space="preserve">1000</t>
    </r>
    <r>
      <rPr>
        <sz val="10"/>
        <rFont val="Noto Sans CJK SC"/>
        <family val="2"/>
      </rPr>
      <t xml:space="preserve">台，以先到为准</t>
    </r>
  </si>
  <si>
    <t xml:space="preserve">远程调试投入</t>
  </si>
  <si>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人</t>
    </r>
    <r>
      <rPr>
        <sz val="10"/>
        <rFont val="微软雅黑"/>
        <family val="0"/>
        <charset val="1"/>
      </rPr>
      <t xml:space="preserve">×1</t>
    </r>
    <r>
      <rPr>
        <sz val="10"/>
        <rFont val="Noto Sans CJK SC"/>
        <family val="2"/>
      </rPr>
      <t xml:space="preserve">个月</t>
    </r>
  </si>
  <si>
    <t xml:space="preserve">报价已含</t>
  </si>
  <si>
    <t xml:space="preserve">二、关键里程碑</t>
  </si>
  <si>
    <t xml:space="preserve">里程碑</t>
  </si>
  <si>
    <t xml:space="preserve">计划日期</t>
  </si>
  <si>
    <t xml:space="preserve">判定标准</t>
  </si>
  <si>
    <t xml:space="preserve">到货清点完成</t>
  </si>
  <si>
    <t xml:space="preserve">开箱验货单签认</t>
  </si>
  <si>
    <t xml:space="preserve">机房上电完成</t>
  </si>
  <si>
    <t xml:space="preserve">服务器自检通过</t>
  </si>
  <si>
    <r>
      <rPr>
        <sz val="10"/>
        <rFont val="微软雅黑"/>
        <family val="0"/>
        <charset val="1"/>
      </rPr>
      <t xml:space="preserve">15</t>
    </r>
    <r>
      <rPr>
        <sz val="10"/>
        <rFont val="Noto Sans CJK SC"/>
        <family val="2"/>
      </rPr>
      <t xml:space="preserve">工位客户端就绪</t>
    </r>
  </si>
  <si>
    <r>
      <rPr>
        <sz val="10"/>
        <rFont val="微软雅黑"/>
        <family val="0"/>
        <charset val="1"/>
      </rPr>
      <t xml:space="preserve">15</t>
    </r>
    <r>
      <rPr>
        <sz val="10"/>
        <rFont val="Noto Sans CJK SC"/>
        <family val="2"/>
      </rPr>
      <t xml:space="preserve">台可登录</t>
    </r>
  </si>
  <si>
    <r>
      <rPr>
        <sz val="10"/>
        <rFont val="微软雅黑"/>
        <family val="0"/>
        <charset val="1"/>
      </rPr>
      <t xml:space="preserve">MES</t>
    </r>
    <r>
      <rPr>
        <sz val="10"/>
        <rFont val="Noto Sans CJK SC"/>
        <family val="2"/>
      </rPr>
      <t xml:space="preserve">配置完成</t>
    </r>
  </si>
  <si>
    <t xml:space="preserve">基础数据、业务规则与接口配置完成</t>
  </si>
  <si>
    <t xml:space="preserve">单机与采集调试完成</t>
  </si>
  <si>
    <t xml:space="preserve">采集数据入库</t>
  </si>
  <si>
    <t xml:space="preserve">试生产完成</t>
  </si>
  <si>
    <t xml:space="preserve">问题清单闭环</t>
  </si>
  <si>
    <t xml:space="preserve">现场交接</t>
  </si>
  <si>
    <t xml:space="preserve">完成确认书签署</t>
  </si>
  <si>
    <t xml:space="preserve">终验收</t>
  </si>
  <si>
    <t xml:space="preserve">按技术协议逐项</t>
  </si>
  <si>
    <t xml:space="preserve">三、对原表格已填内容的修订（逐条）</t>
  </si>
  <si>
    <r>
      <rPr>
        <b val="true"/>
        <sz val="10"/>
        <rFont val="Noto Sans CJK SC"/>
        <family val="2"/>
      </rPr>
      <t xml:space="preserve">原内容 </t>
    </r>
    <r>
      <rPr>
        <b val="true"/>
        <sz val="10"/>
        <rFont val="微软雅黑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问题</t>
    </r>
  </si>
  <si>
    <t xml:space="preserve">修订</t>
  </si>
  <si>
    <r>
      <rPr>
        <sz val="10"/>
        <rFont val="Noto Sans CJK SC"/>
        <family val="2"/>
      </rPr>
      <t xml:space="preserve">“安装</t>
    </r>
    <r>
      <rPr>
        <sz val="10"/>
        <rFont val="微软雅黑"/>
        <family val="0"/>
        <charset val="1"/>
      </rPr>
      <t xml:space="preserve">15</t>
    </r>
    <r>
      <rPr>
        <sz val="10"/>
        <rFont val="Noto Sans CJK SC"/>
        <family val="2"/>
      </rPr>
      <t xml:space="preserve">把扫码枪、调试有线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无线连接”</t>
    </r>
  </si>
  <si>
    <r>
      <rPr>
        <sz val="10"/>
        <rFont val="Noto Sans CJK SC"/>
        <family val="2"/>
      </rPr>
      <t xml:space="preserve">实到</t>
    </r>
    <r>
      <rPr>
        <sz val="10"/>
        <rFont val="微软雅黑"/>
        <family val="0"/>
        <charset val="1"/>
      </rPr>
      <t xml:space="preserve">10</t>
    </r>
    <r>
      <rPr>
        <sz val="10"/>
        <rFont val="Noto Sans CJK SC"/>
        <family val="2"/>
      </rPr>
      <t xml:space="preserve">把，缺</t>
    </r>
    <r>
      <rPr>
        <sz val="10"/>
        <rFont val="微软雅黑"/>
        <family val="0"/>
        <charset val="1"/>
      </rPr>
      <t xml:space="preserve">5</t>
    </r>
    <r>
      <rPr>
        <sz val="10"/>
        <rFont val="Noto Sans CJK SC"/>
        <family val="2"/>
      </rPr>
      <t xml:space="preserve">把：改为“</t>
    </r>
    <r>
      <rPr>
        <sz val="10"/>
        <rFont val="微软雅黑"/>
        <family val="0"/>
        <charset val="1"/>
      </rPr>
      <t xml:space="preserve">10</t>
    </r>
    <r>
      <rPr>
        <sz val="10"/>
        <rFont val="Noto Sans CJK SC"/>
        <family val="2"/>
      </rPr>
      <t xml:space="preserve">把安装调试＋</t>
    </r>
    <r>
      <rPr>
        <sz val="10"/>
        <rFont val="微软雅黑"/>
        <family val="0"/>
        <charset val="1"/>
      </rPr>
      <t xml:space="preserve">5</t>
    </r>
    <r>
      <rPr>
        <sz val="10"/>
        <rFont val="Noto Sans CJK SC"/>
        <family val="2"/>
      </rPr>
      <t xml:space="preserve">把缺口处置（借用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串口枪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补发）”，并标“待客户确认”</t>
    </r>
  </si>
  <si>
    <r>
      <rPr>
        <sz val="10"/>
        <rFont val="Noto Sans CJK SC"/>
        <family val="2"/>
      </rPr>
      <t xml:space="preserve">“安装</t>
    </r>
    <r>
      <rPr>
        <sz val="10"/>
        <rFont val="微软雅黑"/>
        <family val="0"/>
        <charset val="1"/>
      </rPr>
      <t xml:space="preserve">15</t>
    </r>
    <r>
      <rPr>
        <sz val="10"/>
        <rFont val="Noto Sans CJK SC"/>
        <family val="2"/>
      </rPr>
      <t xml:space="preserve">台一体机及支架”</t>
    </r>
  </si>
  <si>
    <t xml:space="preserve">一体机原未发运、后补发：改为“集中安装”，安装窗口后移，前置条件加“到货时间确认”</t>
  </si>
  <si>
    <t xml:space="preserve">“伺服压机数据采集验证”未注范围</t>
  </si>
  <si>
    <r>
      <rPr>
        <sz val="10"/>
        <rFont val="Noto Sans CJK SC"/>
        <family val="2"/>
      </rPr>
      <t xml:space="preserve">报价明确</t>
    </r>
    <r>
      <rPr>
        <sz val="10"/>
        <rFont val="微软雅黑"/>
        <family val="0"/>
        <charset val="1"/>
      </rPr>
      <t xml:space="preserve">5</t>
    </r>
    <r>
      <rPr>
        <sz val="10"/>
        <rFont val="Noto Sans CJK SC"/>
        <family val="2"/>
      </rPr>
      <t xml:space="preserve">台压机“国内调试，不含国外调试费用”：责任方改为甲方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设备商主责，递缇远程协助</t>
    </r>
  </si>
  <si>
    <r>
      <rPr>
        <sz val="10"/>
        <rFont val="Noto Sans CJK SC"/>
        <family val="2"/>
      </rPr>
      <t xml:space="preserve">“安装上线打印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打码设备”</t>
    </r>
  </si>
  <si>
    <t xml:space="preserve">合同仅含“标签打印、条码规则管理”，打码硬件未在供货清单：改为“硬件全部上电后统一调试”，设备由甲方提供</t>
  </si>
  <si>
    <t xml:space="preserve">无培训任务</t>
  </si>
  <si>
    <r>
      <rPr>
        <sz val="10"/>
        <rFont val="Noto Sans CJK SC"/>
        <family val="2"/>
      </rPr>
      <t xml:space="preserve">按交付物要求补充“分角色培训＋《用户操作手册》”，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天</t>
    </r>
  </si>
  <si>
    <r>
      <rPr>
        <sz val="10"/>
        <rFont val="Noto Sans CJK SC"/>
        <family val="2"/>
      </rPr>
      <t xml:space="preserve">无预验收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终验收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质保节点</t>
    </r>
  </si>
  <si>
    <r>
      <rPr>
        <sz val="10"/>
        <rFont val="Noto Sans CJK SC"/>
        <family val="2"/>
      </rPr>
      <t xml:space="preserve">补充预验收（杭州）、终验收、质保与</t>
    </r>
    <r>
      <rPr>
        <sz val="10"/>
        <rFont val="微软雅黑"/>
        <family val="0"/>
        <charset val="1"/>
      </rPr>
      <t xml:space="preserve">7×24</t>
    </r>
    <r>
      <rPr>
        <sz val="10"/>
        <rFont val="Noto Sans CJK SC"/>
        <family val="2"/>
      </rPr>
      <t xml:space="preserve">运维，共</t>
    </r>
    <r>
      <rPr>
        <sz val="10"/>
        <rFont val="微软雅黑"/>
        <family val="0"/>
        <charset val="1"/>
      </rPr>
      <t xml:space="preserve">3</t>
    </r>
    <r>
      <rPr>
        <sz val="10"/>
        <rFont val="Noto Sans CJK SC"/>
        <family val="2"/>
      </rPr>
      <t xml:space="preserve">条</t>
    </r>
  </si>
  <si>
    <t xml:space="preserve">无文档交付对应</t>
  </si>
  <si>
    <r>
      <rPr>
        <sz val="10"/>
        <rFont val="Noto Sans CJK SC"/>
        <family val="2"/>
      </rPr>
      <t xml:space="preserve">文档按合同交付物清单单独提交（《项目实施方案》《系统需求报告》《蓝图设计》《详细设计方案》《实施报告》《培训计划》《用户操作手册》《系统上线报告》《安装配置维护手册》《预验收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终验收报告》《运行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运维报告》），计划页不再单列</t>
    </r>
  </si>
  <si>
    <r>
      <rPr>
        <sz val="10"/>
        <rFont val="Noto Sans CJK SC"/>
        <family val="2"/>
      </rPr>
      <t xml:space="preserve">“周期（</t>
    </r>
    <r>
      <rPr>
        <sz val="10"/>
        <rFont val="微软雅黑"/>
        <family val="0"/>
        <charset val="1"/>
      </rPr>
      <t xml:space="preserve">Day</t>
    </r>
    <r>
      <rPr>
        <sz val="10"/>
        <rFont val="Noto Sans CJK SC"/>
        <family val="2"/>
      </rPr>
      <t xml:space="preserve">）”整列空白</t>
    </r>
  </si>
  <si>
    <r>
      <rPr>
        <sz val="10"/>
        <rFont val="Noto Sans CJK SC"/>
        <family val="2"/>
      </rPr>
      <t xml:space="preserve">全部补齐：现场实施</t>
    </r>
    <r>
      <rPr>
        <sz val="10"/>
        <rFont val="微软雅黑"/>
        <family val="0"/>
        <charset val="1"/>
      </rPr>
      <t xml:space="preserve">38</t>
    </r>
    <r>
      <rPr>
        <sz val="10"/>
        <rFont val="Noto Sans CJK SC"/>
        <family val="2"/>
      </rPr>
      <t xml:space="preserve">天（含并行），远程调试</t>
    </r>
    <r>
      <rPr>
        <sz val="10"/>
        <rFont val="微软雅黑"/>
        <family val="0"/>
        <charset val="1"/>
      </rPr>
      <t xml:space="preserve">20</t>
    </r>
    <r>
      <rPr>
        <sz val="10"/>
        <rFont val="Noto Sans CJK SC"/>
        <family val="2"/>
      </rPr>
      <t xml:space="preserve">天，试运行</t>
    </r>
    <r>
      <rPr>
        <sz val="10"/>
        <rFont val="微软雅黑"/>
        <family val="0"/>
        <charset val="1"/>
      </rPr>
      <t xml:space="preserve">90</t>
    </r>
    <r>
      <rPr>
        <sz val="10"/>
        <rFont val="Noto Sans CJK SC"/>
        <family val="2"/>
      </rPr>
      <t xml:space="preserve">天</t>
    </r>
  </si>
  <si>
    <t xml:space="preserve">“负责人”整列空白</t>
  </si>
  <si>
    <r>
      <rPr>
        <sz val="10"/>
        <rFont val="Noto Sans CJK SC"/>
        <family val="2"/>
      </rPr>
      <t xml:space="preserve">按角色补齐：递缇项目经理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实施工程师、以弗德安装组、甲方设备商</t>
    </r>
  </si>
  <si>
    <t xml:space="preserve">状态描述仅“待对接”</t>
  </si>
  <si>
    <r>
      <rPr>
        <sz val="10"/>
        <rFont val="Noto Sans CJK SC"/>
        <family val="2"/>
      </rPr>
      <t xml:space="preserve">统一状态字典并加下拉：未开始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进行中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已完成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受阻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待客户确认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待确认</t>
    </r>
  </si>
  <si>
    <t xml:space="preserve">无责任边界</t>
  </si>
  <si>
    <t xml:space="preserve">新增“责任方”列：交换机与安装由甲方（以弗德），软件与远程调试由递缇</t>
  </si>
  <si>
    <t xml:space="preserve">无远程调试任务</t>
  </si>
  <si>
    <r>
      <rPr>
        <sz val="10"/>
        <rFont val="Noto Sans CJK SC"/>
        <family val="2"/>
      </rPr>
      <t xml:space="preserve">补为独立任务：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人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个月，与试运行并行</t>
    </r>
  </si>
  <si>
    <r>
      <rPr>
        <sz val="10"/>
        <rFont val="Noto Sans CJK SC"/>
        <family val="2"/>
      </rPr>
      <t xml:space="preserve">无开工前置（签证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安全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差旅）</t>
    </r>
  </si>
  <si>
    <r>
      <rPr>
        <sz val="10"/>
        <rFont val="Noto Sans CJK SC"/>
        <family val="2"/>
      </rPr>
      <t xml:space="preserve">在</t>
    </r>
    <r>
      <rPr>
        <sz val="10"/>
        <rFont val="微软雅黑"/>
        <family val="0"/>
        <charset val="1"/>
      </rPr>
      <t xml:space="preserve">D1</t>
    </r>
    <r>
      <rPr>
        <sz val="10"/>
        <rFont val="Noto Sans CJK SC"/>
        <family val="2"/>
      </rPr>
      <t xml:space="preserve">任务与备注中体现安全培训、作业许可、签证与差旅</t>
    </r>
  </si>
  <si>
    <r>
      <rPr>
        <sz val="10"/>
        <rFont val="Noto Sans CJK SC"/>
        <family val="2"/>
      </rPr>
      <t xml:space="preserve">无</t>
    </r>
    <r>
      <rPr>
        <sz val="10"/>
        <rFont val="微软雅黑"/>
        <family val="0"/>
        <charset val="1"/>
      </rPr>
      <t xml:space="preserve">15</t>
    </r>
    <r>
      <rPr>
        <sz val="10"/>
        <rFont val="Noto Sans CJK SC"/>
        <family val="2"/>
      </rPr>
      <t xml:space="preserve">工位逐站签认</t>
    </r>
  </si>
  <si>
    <r>
      <rPr>
        <sz val="10"/>
        <rFont val="Noto Sans CJK SC"/>
        <family val="2"/>
      </rPr>
      <t xml:space="preserve">新增“工位签认表”页，</t>
    </r>
    <r>
      <rPr>
        <sz val="10"/>
        <rFont val="微软雅黑"/>
        <family val="0"/>
        <charset val="1"/>
      </rPr>
      <t xml:space="preserve">15</t>
    </r>
    <r>
      <rPr>
        <sz val="10"/>
        <rFont val="Noto Sans CJK SC"/>
        <family val="2"/>
      </rPr>
      <t xml:space="preserve">站逐项签认并标注扫码枪状态</t>
    </r>
  </si>
  <si>
    <r>
      <rPr>
        <sz val="10"/>
        <rFont val="Noto Sans CJK SC"/>
        <family val="2"/>
      </rPr>
      <t xml:space="preserve">标题日期</t>
    </r>
    <r>
      <rPr>
        <sz val="10"/>
        <rFont val="微软雅黑"/>
        <family val="0"/>
        <charset val="1"/>
      </rPr>
      <t xml:space="preserve">2026-10-15</t>
    </r>
  </si>
  <si>
    <r>
      <rPr>
        <sz val="10"/>
        <rFont val="Noto Sans CJK SC"/>
        <family val="2"/>
      </rPr>
      <t xml:space="preserve">已过期旧日期：改为“计划开始日”参数（默认</t>
    </r>
    <r>
      <rPr>
        <sz val="10"/>
        <rFont val="微软雅黑"/>
        <family val="0"/>
        <charset val="1"/>
      </rPr>
      <t xml:space="preserve">2026-11-02</t>
    </r>
    <r>
      <rPr>
        <sz val="10"/>
        <rFont val="Noto Sans CJK SC"/>
        <family val="2"/>
      </rPr>
      <t xml:space="preserve">），全表公式联动</t>
    </r>
  </si>
  <si>
    <t xml:space="preserve">性能指标未给判定方法</t>
  </si>
  <si>
    <r>
      <rPr>
        <sz val="10"/>
        <rFont val="Noto Sans CJK SC"/>
        <family val="2"/>
      </rPr>
      <t xml:space="preserve">在输出物列明确≤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秒</t>
    </r>
    <r>
      <rPr>
        <sz val="10"/>
        <rFont val="微软雅黑"/>
        <family val="0"/>
        <charset val="1"/>
      </rPr>
      <t xml:space="preserve">/≤4</t>
    </r>
    <r>
      <rPr>
        <sz val="10"/>
        <rFont val="Noto Sans CJK SC"/>
        <family val="2"/>
      </rPr>
      <t xml:space="preserve">秒、并发、故障恢复、数据不丢失的测试记录要求</t>
    </r>
  </si>
  <si>
    <r>
      <rPr>
        <sz val="10"/>
        <rFont val="Noto Sans CJK SC"/>
        <family val="2"/>
      </rPr>
      <t xml:space="preserve">“安装</t>
    </r>
    <r>
      <rPr>
        <sz val="10"/>
        <rFont val="微软雅黑"/>
        <family val="0"/>
        <charset val="1"/>
      </rPr>
      <t xml:space="preserve">Windows Server 2016”“</t>
    </r>
    <r>
      <rPr>
        <sz val="10"/>
        <rFont val="Noto Sans CJK SC"/>
        <family val="2"/>
      </rPr>
      <t xml:space="preserve">安装</t>
    </r>
    <r>
      <rPr>
        <sz val="10"/>
        <rFont val="微软雅黑"/>
        <family val="0"/>
        <charset val="1"/>
      </rPr>
      <t xml:space="preserve">SQL Server”</t>
    </r>
    <r>
      <rPr>
        <sz val="10"/>
        <rFont val="Noto Sans CJK SC"/>
        <family val="2"/>
      </rPr>
      <t xml:space="preserve">拆为两条独立任务</t>
    </r>
  </si>
  <si>
    <r>
      <rPr>
        <sz val="10"/>
        <rFont val="Noto Sans CJK SC"/>
        <family val="2"/>
      </rPr>
      <t xml:space="preserve">国内已完成一轮调试：合并为“服务器系统与数据库复核”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天，保留镜像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配置基线恢复兜底；仅硬件变更时才重新安装</t>
    </r>
  </si>
  <si>
    <r>
      <rPr>
        <sz val="10"/>
        <rFont val="Noto Sans CJK SC"/>
        <family val="2"/>
      </rPr>
      <t xml:space="preserve">基础配置拆成 </t>
    </r>
    <r>
      <rPr>
        <sz val="10"/>
        <rFont val="微软雅黑"/>
        <family val="0"/>
        <charset val="1"/>
      </rPr>
      <t xml:space="preserve">11 </t>
    </r>
    <r>
      <rPr>
        <sz val="10"/>
        <rFont val="Noto Sans CJK SC"/>
        <family val="2"/>
      </rPr>
      <t xml:space="preserve">条（语言、权限、主动轮、从动轮、条码、工艺路线、</t>
    </r>
    <r>
      <rPr>
        <sz val="10"/>
        <rFont val="微软雅黑"/>
        <family val="0"/>
        <charset val="1"/>
      </rPr>
      <t xml:space="preserve">ESOP</t>
    </r>
    <r>
      <rPr>
        <sz val="10"/>
        <rFont val="Noto Sans CJK SC"/>
        <family val="2"/>
      </rPr>
      <t xml:space="preserve">、拧紧、接口、订单、报表）</t>
    </r>
  </si>
  <si>
    <r>
      <rPr>
        <sz val="10"/>
        <rFont val="Noto Sans CJK SC"/>
        <family val="2"/>
      </rPr>
      <t xml:space="preserve">按</t>
    </r>
    <r>
      <rPr>
        <sz val="10"/>
        <rFont val="微软雅黑"/>
        <family val="0"/>
        <charset val="1"/>
      </rPr>
      <t xml:space="preserve">MES</t>
    </r>
    <r>
      <rPr>
        <sz val="10"/>
        <rFont val="Noto Sans CJK SC"/>
        <family val="2"/>
      </rPr>
      <t xml:space="preserve">实施惯例合并为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个工作包：①基础数据与工艺建模</t>
    </r>
    <r>
      <rPr>
        <sz val="10"/>
        <rFont val="微软雅黑"/>
        <family val="0"/>
        <charset val="1"/>
      </rPr>
      <t xml:space="preserve">3</t>
    </r>
    <r>
      <rPr>
        <sz val="10"/>
        <rFont val="Noto Sans CJK SC"/>
        <family val="2"/>
      </rPr>
      <t xml:space="preserve">天 ②业务规则与报表看板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天；打码联调、设备采集接口因外部依赖独立保留</t>
    </r>
  </si>
  <si>
    <t xml:space="preserve">四、待客户确认事项（影响工期与验收）</t>
  </si>
  <si>
    <r>
      <rPr>
        <sz val="10"/>
        <rFont val="微软雅黑"/>
        <family val="0"/>
        <charset val="1"/>
      </rPr>
      <t xml:space="preserve">1. 5</t>
    </r>
    <r>
      <rPr>
        <sz val="10"/>
        <rFont val="Noto Sans CJK SC"/>
        <family val="2"/>
      </rPr>
      <t xml:space="preserve">把扫码枪的补齐责任与时间：是否同意“借用＋串口枪＋手工录入”临时方案</t>
    </r>
  </si>
  <si>
    <r>
      <rPr>
        <sz val="10"/>
        <rFont val="微软雅黑"/>
        <family val="0"/>
        <charset val="1"/>
      </rPr>
      <t xml:space="preserve">2. </t>
    </r>
    <r>
      <rPr>
        <sz val="10"/>
        <rFont val="Noto Sans CJK SC"/>
        <family val="2"/>
      </rPr>
      <t xml:space="preserve">缺枪工位优先级：哪</t>
    </r>
    <r>
      <rPr>
        <sz val="10"/>
        <rFont val="微软雅黑"/>
        <family val="0"/>
        <charset val="1"/>
      </rPr>
      <t xml:space="preserve">5</t>
    </r>
    <r>
      <rPr>
        <sz val="10"/>
        <rFont val="Noto Sans CJK SC"/>
        <family val="2"/>
      </rPr>
      <t xml:space="preserve">个工位可暂缓启用扫码防错</t>
    </r>
  </si>
  <si>
    <r>
      <rPr>
        <sz val="10"/>
        <rFont val="微软雅黑"/>
        <family val="0"/>
        <charset val="1"/>
      </rPr>
      <t xml:space="preserve">3. </t>
    </r>
    <r>
      <rPr>
        <sz val="10"/>
        <rFont val="Noto Sans CJK SC"/>
        <family val="2"/>
      </rPr>
      <t xml:space="preserve">递缇人员赴墨西哥的签证与差旅费用归属（报价仅含远程调试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人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个月）</t>
    </r>
  </si>
  <si>
    <r>
      <rPr>
        <sz val="10"/>
        <rFont val="微软雅黑"/>
        <family val="0"/>
        <charset val="1"/>
      </rPr>
      <t xml:space="preserve">4. 5</t>
    </r>
    <r>
      <rPr>
        <sz val="10"/>
        <rFont val="Noto Sans CJK SC"/>
        <family val="2"/>
      </rPr>
      <t xml:space="preserve">台伺服压机国外调试界面：合同不含，是否由甲方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设备商负责，递缇仅远程协助</t>
    </r>
  </si>
  <si>
    <r>
      <rPr>
        <sz val="10"/>
        <rFont val="微软雅黑"/>
        <family val="0"/>
        <charset val="1"/>
      </rPr>
      <t xml:space="preserve">5. </t>
    </r>
    <r>
      <rPr>
        <sz val="10"/>
        <rFont val="Noto Sans CJK SC"/>
        <family val="2"/>
      </rPr>
      <t xml:space="preserve">上线打码设备由谁提供、到场时间</t>
    </r>
  </si>
  <si>
    <r>
      <rPr>
        <sz val="10"/>
        <rFont val="微软雅黑"/>
        <family val="0"/>
        <charset val="1"/>
      </rPr>
      <t xml:space="preserve">6. </t>
    </r>
    <r>
      <rPr>
        <sz val="10"/>
        <rFont val="Noto Sans CJK SC"/>
        <family val="2"/>
      </rPr>
      <t xml:space="preserve">预验收是否已在杭州完成；一体机后到货是否需补做</t>
    </r>
  </si>
  <si>
    <r>
      <rPr>
        <sz val="10"/>
        <rFont val="微软雅黑"/>
        <family val="0"/>
        <charset val="1"/>
      </rPr>
      <t xml:space="preserve">7. </t>
    </r>
    <r>
      <rPr>
        <sz val="10"/>
        <rFont val="Noto Sans CJK SC"/>
        <family val="2"/>
      </rPr>
      <t xml:space="preserve">现场网络与</t>
    </r>
    <r>
      <rPr>
        <sz val="10"/>
        <rFont val="微软雅黑"/>
        <family val="0"/>
        <charset val="1"/>
      </rPr>
      <t xml:space="preserve">VPN</t>
    </r>
    <r>
      <rPr>
        <sz val="10"/>
        <rFont val="Noto Sans CJK SC"/>
        <family val="2"/>
      </rPr>
      <t xml:space="preserve">开放时间、服务器与交换机到场时间</t>
    </r>
  </si>
  <si>
    <t xml:space="preserve">五、甘特配色图例</t>
  </si>
  <si>
    <r>
      <rPr>
        <sz val="9"/>
        <rFont val="Noto Sans CJK SC"/>
        <family val="2"/>
      </rPr>
      <t xml:space="preserve">清点、</t>
    </r>
    <r>
      <rPr>
        <sz val="9"/>
        <rFont val="微软雅黑"/>
        <family val="0"/>
        <charset val="1"/>
      </rPr>
      <t xml:space="preserve">IT </t>
    </r>
    <r>
      <rPr>
        <sz val="9"/>
        <rFont val="Noto Sans CJK SC"/>
        <family val="2"/>
      </rPr>
      <t xml:space="preserve">环境确认</t>
    </r>
  </si>
  <si>
    <t xml:space="preserve">机房、布线、一体机、扫码枪、大屏</t>
  </si>
  <si>
    <r>
      <rPr>
        <sz val="10"/>
        <rFont val="微软雅黑"/>
        <family val="0"/>
        <charset val="1"/>
      </rPr>
      <t xml:space="preserve">MES</t>
    </r>
    <r>
      <rPr>
        <sz val="10"/>
        <rFont val="Noto Sans CJK SC"/>
        <family val="2"/>
      </rPr>
      <t xml:space="preserve">软件部署与基础配置</t>
    </r>
  </si>
  <si>
    <r>
      <rPr>
        <sz val="9"/>
        <rFont val="Noto Sans CJK SC"/>
        <family val="2"/>
      </rPr>
      <t xml:space="preserve">服务端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客户端、工艺、权限、报表</t>
    </r>
  </si>
  <si>
    <t xml:space="preserve">逐站验证、设备采集、性能</t>
  </si>
  <si>
    <r>
      <rPr>
        <sz val="9"/>
        <rFont val="微软雅黑"/>
        <family val="0"/>
        <charset val="1"/>
      </rPr>
      <t xml:space="preserve">PLC/SAP</t>
    </r>
    <r>
      <rPr>
        <sz val="9"/>
        <rFont val="Noto Sans CJK SC"/>
        <family val="2"/>
      </rPr>
      <t xml:space="preserve">、空跑、试生产、培训</t>
    </r>
  </si>
  <si>
    <t xml:space="preserve">远程调试、试运行、终验收、质保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</si>
</sst>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Noto Sans CJK SC"/>
      <family val="2"/>
    </font>
    <font>
      <b val="true"/>
      <sz val="15"/>
      <color rgb="FFFFFFFF"/>
      <name val="微软雅黑"/>
      <family val="0"/>
      <charset val="1"/>
    </font>
    <font>
      <sz val="9"/>
      <name val="Noto Sans CJK SC"/>
      <family val="2"/>
    </font>
    <font>
      <sz val="9"/>
      <name val="微软雅黑"/>
      <family val="0"/>
      <charset val="1"/>
    </font>
    <font>
      <b val="true"/>
      <sz val="9"/>
      <name val="Noto Sans CJK SC"/>
      <family val="2"/>
    </font>
    <font>
      <b val="true"/>
      <sz val="9"/>
      <name val="微软雅黑"/>
      <family val="0"/>
      <charset val="1"/>
    </font>
    <font>
      <b val="true"/>
      <sz val="10"/>
      <name val="Noto Sans CJK SC"/>
      <family val="2"/>
    </font>
    <font>
      <b val="true"/>
      <sz val="10"/>
      <name val="微软雅黑"/>
      <family val="0"/>
      <charset val="1"/>
    </font>
    <font>
      <b val="true"/>
      <sz val="14"/>
      <color rgb="FFFFFFFF"/>
      <name val="Noto Sans CJK SC"/>
      <family val="2"/>
    </font>
    <font>
      <b val="true"/>
      <sz val="14"/>
      <color rgb="FFFFFFFF"/>
      <name val="微软雅黑"/>
      <family val="0"/>
      <charset val="1"/>
    </font>
    <font>
      <b val="true"/>
      <sz val="8"/>
      <name val="微软雅黑"/>
      <family val="0"/>
      <charset val="1"/>
    </font>
    <font>
      <sz val="8"/>
      <name val="微软雅黑"/>
      <family val="0"/>
      <charset val="1"/>
    </font>
    <font>
      <sz val="8"/>
      <name val="Noto Sans CJK SC"/>
      <family val="2"/>
    </font>
    <font>
      <i val="true"/>
      <sz val="8"/>
      <name val="Noto Sans CJK SC"/>
      <family val="2"/>
    </font>
    <font>
      <i val="true"/>
      <sz val="8"/>
      <name val="微软雅黑"/>
      <family val="0"/>
      <charset val="1"/>
    </font>
    <font>
      <b val="true"/>
      <sz val="13"/>
      <color rgb="FFFFFFFF"/>
      <name val="微软雅黑"/>
      <family val="0"/>
      <charset val="1"/>
    </font>
    <font>
      <b val="true"/>
      <sz val="13"/>
      <color rgb="FFFFFFFF"/>
      <name val="Noto Sans CJK SC"/>
      <family val="2"/>
    </font>
    <font>
      <sz val="9"/>
      <color rgb="FFC00000"/>
      <name val="Noto Sans CJK SC"/>
      <family val="2"/>
    </font>
    <font>
      <sz val="9"/>
      <color rgb="FFC00000"/>
      <name val="微软雅黑"/>
      <family val="0"/>
      <charset val="1"/>
    </font>
    <font>
      <b val="true"/>
      <sz val="11"/>
      <name val="Noto Sans CJK SC"/>
      <family val="2"/>
    </font>
    <font>
      <sz val="10"/>
      <name val="Noto Sans CJK SC"/>
      <family val="2"/>
    </font>
    <font>
      <b val="true"/>
      <sz val="10"/>
      <color rgb="FF0000FF"/>
      <name val="微软雅黑"/>
      <family val="0"/>
      <charset val="1"/>
    </font>
    <font>
      <sz val="10"/>
      <name val="微软雅黑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665200"/>
        <bgColor rgb="FF993300"/>
      </patternFill>
    </fill>
    <fill>
      <patternFill patternType="solid">
        <fgColor rgb="FFFFF9E3"/>
        <bgColor rgb="FFFFF4E5"/>
      </patternFill>
    </fill>
    <fill>
      <patternFill patternType="solid">
        <fgColor rgb="FFF2F2F2"/>
        <bgColor rgb="FFEAF2FF"/>
      </patternFill>
    </fill>
    <fill>
      <patternFill patternType="solid">
        <fgColor rgb="FFEAF2FF"/>
        <bgColor rgb="FFF2F2F2"/>
      </patternFill>
    </fill>
    <fill>
      <patternFill patternType="solid">
        <fgColor rgb="FFFDE7E9"/>
        <bgColor rgb="FFFFF4E5"/>
      </patternFill>
    </fill>
    <fill>
      <patternFill patternType="solid">
        <fgColor rgb="FFF7F9FC"/>
        <bgColor rgb="FFFFFFFF"/>
      </patternFill>
    </fill>
    <fill>
      <patternFill patternType="solid">
        <fgColor rgb="FFFFF4E5"/>
        <bgColor rgb="FFFFF9E3"/>
      </patternFill>
    </fill>
    <fill>
      <patternFill patternType="solid">
        <fgColor rgb="FFD9E2F3"/>
        <bgColor rgb="FFD9DEE7"/>
      </patternFill>
    </fill>
    <fill>
      <patternFill patternType="solid">
        <fgColor rgb="FFD7EDD9"/>
        <bgColor rgb="FFCCEFF2"/>
      </patternFill>
    </fill>
    <fill>
      <patternFill patternType="solid">
        <fgColor rgb="FFFFE7C7"/>
        <bgColor rgb="FFFFF2CC"/>
      </patternFill>
    </fill>
    <fill>
      <patternFill patternType="solid">
        <fgColor rgb="FFE4D5F7"/>
        <bgColor rgb="FFD9DEE7"/>
      </patternFill>
    </fill>
    <fill>
      <patternFill patternType="solid">
        <fgColor rgb="FFCCEFF2"/>
        <bgColor rgb="FFD7EDD9"/>
      </patternFill>
    </fill>
    <fill>
      <patternFill patternType="solid">
        <fgColor rgb="FFF9D6D9"/>
        <bgColor rgb="FFFDE7E9"/>
      </patternFill>
    </fill>
    <fill>
      <patternFill patternType="solid">
        <fgColor rgb="FFFFF2CC"/>
        <bgColor rgb="FFFFF4E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 diagonalUp="false" diagonalDown="false"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  <border diagonalUp="false" diagonalDown="false">
      <left style="thin">
        <color rgb="FFD9DEE7"/>
      </left>
      <right/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5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EAF2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FDE7E9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4E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4C5"/>
      <rgbColor rgb="FF808080"/>
      <rgbColor rgb="FFF2F2F2"/>
      <rgbColor rgb="FF993366"/>
      <rgbColor rgb="FFFFF9E3"/>
      <rgbColor rgb="FFCCEFF2"/>
      <rgbColor rgb="FF660066"/>
      <rgbColor rgb="FFFF8080"/>
      <rgbColor rgb="FF0066CC"/>
      <rgbColor rgb="FFE4D5F7"/>
      <rgbColor rgb="FF000080"/>
      <rgbColor rgb="FFFF00FF"/>
      <rgbColor rgb="FFFDE7E9"/>
      <rgbColor rgb="FF00FFFF"/>
      <rgbColor rgb="FF800080"/>
      <rgbColor rgb="FF800000"/>
      <rgbColor rgb="FF008080"/>
      <rgbColor rgb="FF0000FF"/>
      <rgbColor rgb="FF00CCFF"/>
      <rgbColor rgb="FFEAF2FF"/>
      <rgbColor rgb="FFD7EDD9"/>
      <rgbColor rgb="FFFFF2CC"/>
      <rgbColor rgb="FFD9DEE7"/>
      <rgbColor rgb="FFFFE7C7"/>
      <rgbColor rgb="FFD9E2F3"/>
      <rgbColor rgb="FFF9D6D9"/>
      <rgbColor rgb="FF3366FF"/>
      <rgbColor rgb="FF33CCCC"/>
      <rgbColor rgb="FF99CC00"/>
      <rgbColor rgb="FFF7F9FC"/>
      <rgbColor rgb="FFFF9900"/>
      <rgbColor rgb="FFFF6600"/>
      <rgbColor rgb="FF666699"/>
      <rgbColor rgb="FF969696"/>
      <rgbColor rgb="FF003366"/>
      <rgbColor rgb="FF339966"/>
      <rgbColor rgb="FF003300"/>
      <rgbColor rgb="FF6652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60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36"/>
    <col collapsed="false" customWidth="true" hidden="true" outlineLevel="0" max="12" min="12" style="0" width="1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7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</row>
    <row r="5" customFormat="false" ht="37.5" hidden="false" customHeight="true" outlineLevel="0" collapsed="false">
      <c r="A5" s="5" t="s">
        <v>14</v>
      </c>
      <c r="B5" s="6" t="n">
        <v>1</v>
      </c>
      <c r="C5" s="7" t="s">
        <v>15</v>
      </c>
      <c r="D5" s="6" t="n">
        <v>2</v>
      </c>
      <c r="E5" s="8" t="n">
        <f aca="false">说明与修订!$B$5+L5</f>
        <v>46328</v>
      </c>
      <c r="F5" s="8" t="n">
        <f aca="false">E5+D5-1</f>
        <v>46329</v>
      </c>
      <c r="G5" s="7" t="s">
        <v>16</v>
      </c>
      <c r="H5" s="9" t="s">
        <v>17</v>
      </c>
      <c r="I5" s="10" t="s">
        <v>18</v>
      </c>
      <c r="J5" s="7" t="s">
        <v>19</v>
      </c>
      <c r="K5" s="7" t="s">
        <v>20</v>
      </c>
      <c r="L5" s="0" t="n">
        <v>0</v>
      </c>
    </row>
    <row r="6" customFormat="false" ht="37.5" hidden="false" customHeight="true" outlineLevel="0" collapsed="false">
      <c r="A6" s="5" t="s">
        <v>21</v>
      </c>
      <c r="B6" s="11" t="n">
        <v>2</v>
      </c>
      <c r="C6" s="12" t="s">
        <v>22</v>
      </c>
      <c r="D6" s="11" t="n">
        <v>2</v>
      </c>
      <c r="E6" s="13" t="n">
        <f aca="false">说明与修订!$B$5+L6</f>
        <v>46330</v>
      </c>
      <c r="F6" s="13" t="n">
        <f aca="false">E6+D6-1</f>
        <v>46331</v>
      </c>
      <c r="G6" s="12" t="s">
        <v>23</v>
      </c>
      <c r="H6" s="14" t="s">
        <v>24</v>
      </c>
      <c r="I6" s="14" t="s">
        <v>25</v>
      </c>
      <c r="J6" s="12" t="s">
        <v>26</v>
      </c>
      <c r="K6" s="12" t="s">
        <v>27</v>
      </c>
      <c r="L6" s="0" t="n">
        <v>2</v>
      </c>
    </row>
    <row r="7" customFormat="false" ht="30" hidden="false" customHeight="true" outlineLevel="0" collapsed="false">
      <c r="A7" s="5"/>
      <c r="B7" s="9" t="n">
        <v>3</v>
      </c>
      <c r="C7" s="7" t="s">
        <v>28</v>
      </c>
      <c r="D7" s="9" t="n">
        <v>1</v>
      </c>
      <c r="E7" s="8" t="n">
        <f aca="false">说明与修订!$B$5+L7</f>
        <v>46332</v>
      </c>
      <c r="F7" s="8" t="n">
        <f aca="false">E7+D7-1</f>
        <v>46332</v>
      </c>
      <c r="G7" s="7" t="s">
        <v>29</v>
      </c>
      <c r="H7" s="9" t="s">
        <v>30</v>
      </c>
      <c r="I7" s="9" t="s">
        <v>25</v>
      </c>
      <c r="J7" s="7" t="s">
        <v>31</v>
      </c>
      <c r="K7" s="7" t="s">
        <v>32</v>
      </c>
      <c r="L7" s="0" t="n">
        <v>4</v>
      </c>
    </row>
    <row r="8" customFormat="false" ht="67.5" hidden="false" customHeight="true" outlineLevel="0" collapsed="false">
      <c r="A8" s="5"/>
      <c r="B8" s="15" t="n">
        <v>4</v>
      </c>
      <c r="C8" s="16" t="s">
        <v>33</v>
      </c>
      <c r="D8" s="15" t="n">
        <v>1</v>
      </c>
      <c r="E8" s="17" t="n">
        <f aca="false">说明与修订!$B$5+L8</f>
        <v>46333</v>
      </c>
      <c r="F8" s="17" t="n">
        <f aca="false">E8+D8-1</f>
        <v>46333</v>
      </c>
      <c r="G8" s="16" t="s">
        <v>29</v>
      </c>
      <c r="H8" s="18" t="s">
        <v>30</v>
      </c>
      <c r="I8" s="18" t="s">
        <v>25</v>
      </c>
      <c r="J8" s="16" t="s">
        <v>34</v>
      </c>
      <c r="K8" s="16" t="s">
        <v>35</v>
      </c>
      <c r="L8" s="0" t="n">
        <v>5</v>
      </c>
    </row>
    <row r="9" customFormat="false" ht="37.5" hidden="false" customHeight="true" outlineLevel="0" collapsed="false">
      <c r="A9" s="5"/>
      <c r="B9" s="9" t="n">
        <v>5</v>
      </c>
      <c r="C9" s="7" t="s">
        <v>36</v>
      </c>
      <c r="D9" s="9" t="n">
        <v>2</v>
      </c>
      <c r="E9" s="8" t="n">
        <f aca="false">说明与修订!$B$5+L9</f>
        <v>46332</v>
      </c>
      <c r="F9" s="8" t="n">
        <f aca="false">E9+D9-1</f>
        <v>46333</v>
      </c>
      <c r="G9" s="7" t="s">
        <v>29</v>
      </c>
      <c r="H9" s="9" t="s">
        <v>37</v>
      </c>
      <c r="I9" s="9" t="s">
        <v>25</v>
      </c>
      <c r="J9" s="7" t="s">
        <v>38</v>
      </c>
      <c r="K9" s="7" t="s">
        <v>39</v>
      </c>
      <c r="L9" s="0" t="n">
        <v>4</v>
      </c>
    </row>
    <row r="10" customFormat="false" ht="37.5" hidden="false" customHeight="true" outlineLevel="0" collapsed="false">
      <c r="A10" s="5"/>
      <c r="B10" s="14" t="n">
        <v>6</v>
      </c>
      <c r="C10" s="12" t="s">
        <v>40</v>
      </c>
      <c r="D10" s="14" t="n">
        <v>4</v>
      </c>
      <c r="E10" s="13" t="n">
        <f aca="false">说明与修订!$B$5+L10</f>
        <v>46334</v>
      </c>
      <c r="F10" s="13" t="n">
        <f aca="false">E10+D10-1</f>
        <v>46337</v>
      </c>
      <c r="G10" s="12" t="s">
        <v>23</v>
      </c>
      <c r="H10" s="14" t="s">
        <v>41</v>
      </c>
      <c r="I10" s="14" t="s">
        <v>25</v>
      </c>
      <c r="J10" s="12" t="s">
        <v>42</v>
      </c>
      <c r="K10" s="12" t="s">
        <v>43</v>
      </c>
      <c r="L10" s="0" t="n">
        <v>6</v>
      </c>
    </row>
    <row r="11" customFormat="false" ht="52.5" hidden="false" customHeight="true" outlineLevel="0" collapsed="false">
      <c r="A11" s="5"/>
      <c r="B11" s="19" t="n">
        <v>7</v>
      </c>
      <c r="C11" s="20" t="s">
        <v>44</v>
      </c>
      <c r="D11" s="19" t="n">
        <v>3</v>
      </c>
      <c r="E11" s="21" t="n">
        <f aca="false">说明与修订!$B$5+L11</f>
        <v>46336</v>
      </c>
      <c r="F11" s="21" t="n">
        <f aca="false">E11+D11-1</f>
        <v>46338</v>
      </c>
      <c r="G11" s="20" t="s">
        <v>29</v>
      </c>
      <c r="H11" s="22" t="s">
        <v>45</v>
      </c>
      <c r="I11" s="23" t="s">
        <v>18</v>
      </c>
      <c r="J11" s="20" t="s">
        <v>46</v>
      </c>
      <c r="K11" s="20" t="s">
        <v>47</v>
      </c>
      <c r="L11" s="0" t="n">
        <v>8</v>
      </c>
    </row>
    <row r="12" customFormat="false" ht="30" hidden="false" customHeight="true" outlineLevel="0" collapsed="false">
      <c r="A12" s="5"/>
      <c r="B12" s="14" t="n">
        <v>8</v>
      </c>
      <c r="C12" s="12" t="s">
        <v>48</v>
      </c>
      <c r="D12" s="14" t="n">
        <v>1</v>
      </c>
      <c r="E12" s="13" t="n">
        <f aca="false">说明与修订!$B$5+L12</f>
        <v>46338</v>
      </c>
      <c r="F12" s="13" t="n">
        <f aca="false">E12+D12-1</f>
        <v>46338</v>
      </c>
      <c r="G12" s="12" t="s">
        <v>23</v>
      </c>
      <c r="H12" s="14" t="s">
        <v>49</v>
      </c>
      <c r="I12" s="14" t="s">
        <v>25</v>
      </c>
      <c r="J12" s="12" t="s">
        <v>50</v>
      </c>
      <c r="K12" s="12"/>
      <c r="L12" s="0" t="n">
        <v>10</v>
      </c>
    </row>
    <row r="13" customFormat="false" ht="30" hidden="false" customHeight="true" outlineLevel="0" collapsed="false">
      <c r="A13" s="5"/>
      <c r="B13" s="9" t="n">
        <v>9</v>
      </c>
      <c r="C13" s="7" t="s">
        <v>51</v>
      </c>
      <c r="D13" s="9" t="n">
        <v>2</v>
      </c>
      <c r="E13" s="8" t="n">
        <f aca="false">说明与修订!$B$5+L13</f>
        <v>46333</v>
      </c>
      <c r="F13" s="8" t="n">
        <f aca="false">E13+D13-1</f>
        <v>46334</v>
      </c>
      <c r="G13" s="7" t="s">
        <v>23</v>
      </c>
      <c r="H13" s="9" t="s">
        <v>49</v>
      </c>
      <c r="I13" s="9" t="s">
        <v>25</v>
      </c>
      <c r="J13" s="7" t="s">
        <v>52</v>
      </c>
      <c r="K13" s="7"/>
      <c r="L13" s="0" t="n">
        <v>5</v>
      </c>
    </row>
    <row r="14" customFormat="false" ht="37.5" hidden="false" customHeight="true" outlineLevel="0" collapsed="false">
      <c r="A14" s="24" t="s">
        <v>53</v>
      </c>
      <c r="B14" s="14" t="n">
        <v>10</v>
      </c>
      <c r="C14" s="12" t="s">
        <v>54</v>
      </c>
      <c r="D14" s="14" t="n">
        <v>2</v>
      </c>
      <c r="E14" s="13" t="n">
        <f aca="false">说明与修订!$B$5+L14</f>
        <v>46340</v>
      </c>
      <c r="F14" s="13" t="n">
        <f aca="false">E14+D14-1</f>
        <v>46341</v>
      </c>
      <c r="G14" s="12" t="s">
        <v>29</v>
      </c>
      <c r="H14" s="14" t="s">
        <v>30</v>
      </c>
      <c r="I14" s="14" t="s">
        <v>25</v>
      </c>
      <c r="J14" s="12" t="s">
        <v>55</v>
      </c>
      <c r="K14" s="12"/>
      <c r="L14" s="0" t="n">
        <v>12</v>
      </c>
    </row>
    <row r="15" customFormat="false" ht="37.5" hidden="false" customHeight="true" outlineLevel="0" collapsed="false">
      <c r="A15" s="24"/>
      <c r="B15" s="9" t="n">
        <v>11</v>
      </c>
      <c r="C15" s="7" t="s">
        <v>56</v>
      </c>
      <c r="D15" s="9" t="n">
        <v>2</v>
      </c>
      <c r="E15" s="8" t="n">
        <f aca="false">说明与修订!$B$5+L15</f>
        <v>46340</v>
      </c>
      <c r="F15" s="8" t="n">
        <f aca="false">E15+D15-1</f>
        <v>46341</v>
      </c>
      <c r="G15" s="7" t="s">
        <v>29</v>
      </c>
      <c r="H15" s="9" t="s">
        <v>30</v>
      </c>
      <c r="I15" s="9" t="s">
        <v>25</v>
      </c>
      <c r="J15" s="7" t="s">
        <v>57</v>
      </c>
      <c r="K15" s="7" t="s">
        <v>58</v>
      </c>
      <c r="L15" s="0" t="n">
        <v>12</v>
      </c>
    </row>
    <row r="16" customFormat="false" ht="84" hidden="false" customHeight="true" outlineLevel="0" collapsed="false">
      <c r="A16" s="24"/>
      <c r="B16" s="14" t="n">
        <v>12</v>
      </c>
      <c r="C16" s="12" t="s">
        <v>59</v>
      </c>
      <c r="D16" s="14" t="n">
        <v>3</v>
      </c>
      <c r="E16" s="13" t="n">
        <f aca="false">说明与修订!$B$5+L16</f>
        <v>46342</v>
      </c>
      <c r="F16" s="13" t="n">
        <f aca="false">E16+D16-1</f>
        <v>46344</v>
      </c>
      <c r="G16" s="12" t="s">
        <v>29</v>
      </c>
      <c r="H16" s="14" t="s">
        <v>30</v>
      </c>
      <c r="I16" s="14" t="s">
        <v>25</v>
      </c>
      <c r="J16" s="25" t="s">
        <v>60</v>
      </c>
      <c r="K16" s="12" t="s">
        <v>61</v>
      </c>
      <c r="L16" s="0" t="n">
        <v>14</v>
      </c>
    </row>
    <row r="17" customFormat="false" ht="67.5" hidden="false" customHeight="true" outlineLevel="0" collapsed="false">
      <c r="A17" s="24"/>
      <c r="B17" s="9" t="n">
        <v>13</v>
      </c>
      <c r="C17" s="7" t="s">
        <v>62</v>
      </c>
      <c r="D17" s="9" t="n">
        <v>2</v>
      </c>
      <c r="E17" s="8" t="n">
        <f aca="false">说明与修订!$B$5+L17</f>
        <v>46345</v>
      </c>
      <c r="F17" s="8" t="n">
        <f aca="false">E17+D17-1</f>
        <v>46346</v>
      </c>
      <c r="G17" s="7" t="s">
        <v>29</v>
      </c>
      <c r="H17" s="9" t="s">
        <v>30</v>
      </c>
      <c r="I17" s="9" t="s">
        <v>25</v>
      </c>
      <c r="J17" s="7" t="s">
        <v>63</v>
      </c>
      <c r="K17" s="7" t="s">
        <v>64</v>
      </c>
      <c r="L17" s="0" t="n">
        <v>17</v>
      </c>
    </row>
    <row r="18" customFormat="false" ht="52.5" hidden="false" customHeight="true" outlineLevel="0" collapsed="false">
      <c r="A18" s="24"/>
      <c r="B18" s="14" t="n">
        <v>14</v>
      </c>
      <c r="C18" s="12" t="s">
        <v>65</v>
      </c>
      <c r="D18" s="14" t="n">
        <v>1</v>
      </c>
      <c r="E18" s="13" t="n">
        <f aca="false">说明与修订!$B$5+L18</f>
        <v>46347</v>
      </c>
      <c r="F18" s="13" t="n">
        <f aca="false">E18+D18-1</f>
        <v>46347</v>
      </c>
      <c r="G18" s="12" t="s">
        <v>29</v>
      </c>
      <c r="H18" s="14" t="s">
        <v>66</v>
      </c>
      <c r="I18" s="10" t="s">
        <v>18</v>
      </c>
      <c r="J18" s="12" t="s">
        <v>67</v>
      </c>
      <c r="K18" s="12" t="s">
        <v>68</v>
      </c>
      <c r="L18" s="0" t="n">
        <v>19</v>
      </c>
    </row>
    <row r="19" customFormat="false" ht="37.5" hidden="false" customHeight="true" outlineLevel="0" collapsed="false">
      <c r="A19" s="24"/>
      <c r="B19" s="9" t="n">
        <v>15</v>
      </c>
      <c r="C19" s="7" t="s">
        <v>69</v>
      </c>
      <c r="D19" s="9" t="n">
        <v>2</v>
      </c>
      <c r="E19" s="8" t="n">
        <f aca="false">说明与修订!$B$5+L19</f>
        <v>46348</v>
      </c>
      <c r="F19" s="8" t="n">
        <f aca="false">E19+D19-1</f>
        <v>46349</v>
      </c>
      <c r="G19" s="7" t="s">
        <v>29</v>
      </c>
      <c r="H19" s="9" t="s">
        <v>30</v>
      </c>
      <c r="I19" s="9" t="s">
        <v>25</v>
      </c>
      <c r="J19" s="7" t="s">
        <v>70</v>
      </c>
      <c r="K19" s="7" t="s">
        <v>71</v>
      </c>
      <c r="L19" s="0" t="n">
        <v>20</v>
      </c>
    </row>
    <row r="20" customFormat="false" ht="37.5" hidden="false" customHeight="true" outlineLevel="0" collapsed="false">
      <c r="A20" s="5" t="s">
        <v>72</v>
      </c>
      <c r="B20" s="14" t="n">
        <v>16</v>
      </c>
      <c r="C20" s="12" t="s">
        <v>73</v>
      </c>
      <c r="D20" s="14" t="n">
        <v>1</v>
      </c>
      <c r="E20" s="13" t="n">
        <f aca="false">说明与修订!$B$5+L20</f>
        <v>46350</v>
      </c>
      <c r="F20" s="13" t="n">
        <f aca="false">E20+D20-1</f>
        <v>46350</v>
      </c>
      <c r="G20" s="12" t="s">
        <v>29</v>
      </c>
      <c r="H20" s="14" t="s">
        <v>30</v>
      </c>
      <c r="I20" s="14" t="s">
        <v>25</v>
      </c>
      <c r="J20" s="12" t="s">
        <v>74</v>
      </c>
      <c r="K20" s="12"/>
      <c r="L20" s="0" t="n">
        <v>22</v>
      </c>
    </row>
    <row r="21" customFormat="false" ht="37.5" hidden="false" customHeight="true" outlineLevel="0" collapsed="false">
      <c r="A21" s="5"/>
      <c r="B21" s="9" t="n">
        <v>17</v>
      </c>
      <c r="C21" s="7" t="s">
        <v>75</v>
      </c>
      <c r="D21" s="9" t="n">
        <v>2</v>
      </c>
      <c r="E21" s="8" t="n">
        <f aca="false">说明与修订!$B$5+L21</f>
        <v>46351</v>
      </c>
      <c r="F21" s="8" t="n">
        <f aca="false">E21+D21-1</f>
        <v>46352</v>
      </c>
      <c r="G21" s="7" t="s">
        <v>29</v>
      </c>
      <c r="H21" s="9" t="s">
        <v>30</v>
      </c>
      <c r="I21" s="9" t="s">
        <v>25</v>
      </c>
      <c r="J21" s="7" t="s">
        <v>76</v>
      </c>
      <c r="K21" s="7" t="s">
        <v>77</v>
      </c>
      <c r="L21" s="0" t="n">
        <v>23</v>
      </c>
    </row>
    <row r="22" customFormat="false" ht="30" hidden="false" customHeight="true" outlineLevel="0" collapsed="false">
      <c r="A22" s="5"/>
      <c r="B22" s="14" t="n">
        <v>18</v>
      </c>
      <c r="C22" s="12" t="s">
        <v>78</v>
      </c>
      <c r="D22" s="14" t="n">
        <v>1</v>
      </c>
      <c r="E22" s="13" t="n">
        <f aca="false">说明与修订!$B$5+L22</f>
        <v>46351</v>
      </c>
      <c r="F22" s="13" t="n">
        <f aca="false">E22+D22-1</f>
        <v>46351</v>
      </c>
      <c r="G22" s="12" t="s">
        <v>29</v>
      </c>
      <c r="H22" s="14" t="s">
        <v>17</v>
      </c>
      <c r="I22" s="14" t="s">
        <v>25</v>
      </c>
      <c r="J22" s="12" t="s">
        <v>79</v>
      </c>
      <c r="K22" s="12"/>
      <c r="L22" s="0" t="n">
        <v>23</v>
      </c>
    </row>
    <row r="23" customFormat="false" ht="37.5" hidden="false" customHeight="true" outlineLevel="0" collapsed="false">
      <c r="A23" s="5"/>
      <c r="B23" s="9" t="n">
        <v>19</v>
      </c>
      <c r="C23" s="7" t="s">
        <v>80</v>
      </c>
      <c r="D23" s="9" t="n">
        <v>1</v>
      </c>
      <c r="E23" s="8" t="n">
        <f aca="false">说明与修订!$B$5+L23</f>
        <v>46352</v>
      </c>
      <c r="F23" s="8" t="n">
        <f aca="false">E23+D23-1</f>
        <v>46352</v>
      </c>
      <c r="G23" s="7" t="s">
        <v>29</v>
      </c>
      <c r="H23" s="9" t="s">
        <v>30</v>
      </c>
      <c r="I23" s="9" t="s">
        <v>25</v>
      </c>
      <c r="J23" s="7" t="s">
        <v>81</v>
      </c>
      <c r="K23" s="7" t="s">
        <v>82</v>
      </c>
      <c r="L23" s="0" t="n">
        <v>24</v>
      </c>
    </row>
    <row r="24" customFormat="false" ht="37.5" hidden="false" customHeight="true" outlineLevel="0" collapsed="false">
      <c r="A24" s="5"/>
      <c r="B24" s="14" t="n">
        <v>20</v>
      </c>
      <c r="C24" s="12" t="s">
        <v>83</v>
      </c>
      <c r="D24" s="14" t="n">
        <v>1</v>
      </c>
      <c r="E24" s="13" t="n">
        <f aca="false">说明与修订!$B$5+L24</f>
        <v>46353</v>
      </c>
      <c r="F24" s="13" t="n">
        <f aca="false">E24+D24-1</f>
        <v>46353</v>
      </c>
      <c r="G24" s="12" t="s">
        <v>29</v>
      </c>
      <c r="H24" s="14" t="s">
        <v>30</v>
      </c>
      <c r="I24" s="14" t="s">
        <v>25</v>
      </c>
      <c r="J24" s="12" t="s">
        <v>84</v>
      </c>
      <c r="K24" s="12"/>
      <c r="L24" s="0" t="n">
        <v>25</v>
      </c>
    </row>
    <row r="25" customFormat="false" ht="37.5" hidden="false" customHeight="true" outlineLevel="0" collapsed="false">
      <c r="A25" s="5"/>
      <c r="B25" s="9" t="n">
        <v>21</v>
      </c>
      <c r="C25" s="7" t="s">
        <v>85</v>
      </c>
      <c r="D25" s="9" t="n">
        <v>1</v>
      </c>
      <c r="E25" s="8" t="n">
        <f aca="false">说明与修订!$B$5+L25</f>
        <v>46354</v>
      </c>
      <c r="F25" s="8" t="n">
        <f aca="false">E25+D25-1</f>
        <v>46354</v>
      </c>
      <c r="G25" s="7" t="s">
        <v>29</v>
      </c>
      <c r="H25" s="9" t="s">
        <v>30</v>
      </c>
      <c r="I25" s="9" t="s">
        <v>25</v>
      </c>
      <c r="J25" s="7" t="s">
        <v>86</v>
      </c>
      <c r="K25" s="26" t="s">
        <v>87</v>
      </c>
      <c r="L25" s="0" t="n">
        <v>26</v>
      </c>
    </row>
    <row r="26" customFormat="false" ht="52.5" hidden="false" customHeight="true" outlineLevel="0" collapsed="false">
      <c r="A26" s="5"/>
      <c r="B26" s="18" t="n">
        <v>22</v>
      </c>
      <c r="C26" s="16" t="s">
        <v>88</v>
      </c>
      <c r="D26" s="18" t="n">
        <v>2</v>
      </c>
      <c r="E26" s="17" t="n">
        <f aca="false">说明与修订!$B$5+L26</f>
        <v>46354</v>
      </c>
      <c r="F26" s="17" t="n">
        <f aca="false">E26+D26-1</f>
        <v>46355</v>
      </c>
      <c r="G26" s="16" t="s">
        <v>89</v>
      </c>
      <c r="H26" s="18" t="s">
        <v>90</v>
      </c>
      <c r="I26" s="23" t="s">
        <v>18</v>
      </c>
      <c r="J26" s="16" t="s">
        <v>91</v>
      </c>
      <c r="K26" s="16" t="s">
        <v>92</v>
      </c>
      <c r="L26" s="0" t="n">
        <v>26</v>
      </c>
    </row>
    <row r="27" customFormat="false" ht="30" hidden="false" customHeight="true" outlineLevel="0" collapsed="false">
      <c r="A27" s="5"/>
      <c r="B27" s="9" t="n">
        <v>23</v>
      </c>
      <c r="C27" s="7" t="s">
        <v>93</v>
      </c>
      <c r="D27" s="9" t="n">
        <v>1</v>
      </c>
      <c r="E27" s="8" t="n">
        <f aca="false">说明与修订!$B$5+L27</f>
        <v>46355</v>
      </c>
      <c r="F27" s="8" t="n">
        <f aca="false">E27+D27-1</f>
        <v>46355</v>
      </c>
      <c r="G27" s="7" t="s">
        <v>29</v>
      </c>
      <c r="H27" s="9" t="s">
        <v>30</v>
      </c>
      <c r="I27" s="9" t="s">
        <v>25</v>
      </c>
      <c r="J27" s="7" t="s">
        <v>94</v>
      </c>
      <c r="K27" s="7"/>
      <c r="L27" s="0" t="n">
        <v>27</v>
      </c>
    </row>
    <row r="28" customFormat="false" ht="37.5" hidden="false" customHeight="true" outlineLevel="0" collapsed="false">
      <c r="A28" s="5"/>
      <c r="B28" s="14" t="n">
        <v>24</v>
      </c>
      <c r="C28" s="12" t="s">
        <v>95</v>
      </c>
      <c r="D28" s="14" t="n">
        <v>1</v>
      </c>
      <c r="E28" s="13" t="n">
        <f aca="false">说明与修订!$B$5+L28</f>
        <v>46356</v>
      </c>
      <c r="F28" s="13" t="n">
        <f aca="false">E28+D28-1</f>
        <v>46356</v>
      </c>
      <c r="G28" s="12" t="s">
        <v>29</v>
      </c>
      <c r="H28" s="14" t="s">
        <v>30</v>
      </c>
      <c r="I28" s="14" t="s">
        <v>25</v>
      </c>
      <c r="J28" s="12" t="s">
        <v>96</v>
      </c>
      <c r="K28" s="12"/>
      <c r="L28" s="0" t="n">
        <v>28</v>
      </c>
    </row>
    <row r="29" customFormat="false" ht="37.5" hidden="false" customHeight="true" outlineLevel="0" collapsed="false">
      <c r="A29" s="5"/>
      <c r="B29" s="9" t="n">
        <v>25</v>
      </c>
      <c r="C29" s="7" t="s">
        <v>97</v>
      </c>
      <c r="D29" s="9" t="n">
        <v>1</v>
      </c>
      <c r="E29" s="8" t="n">
        <f aca="false">说明与修订!$B$5+L29</f>
        <v>46356</v>
      </c>
      <c r="F29" s="8" t="n">
        <f aca="false">E29+D29-1</f>
        <v>46356</v>
      </c>
      <c r="G29" s="7" t="s">
        <v>29</v>
      </c>
      <c r="H29" s="9" t="s">
        <v>30</v>
      </c>
      <c r="I29" s="9" t="s">
        <v>25</v>
      </c>
      <c r="J29" s="7" t="s">
        <v>98</v>
      </c>
      <c r="K29" s="7"/>
      <c r="L29" s="0" t="n">
        <v>28</v>
      </c>
    </row>
    <row r="30" customFormat="false" ht="37.5" hidden="false" customHeight="true" outlineLevel="0" collapsed="false">
      <c r="A30" s="5"/>
      <c r="B30" s="14" t="n">
        <v>26</v>
      </c>
      <c r="C30" s="12" t="s">
        <v>99</v>
      </c>
      <c r="D30" s="14" t="n">
        <v>1</v>
      </c>
      <c r="E30" s="13" t="n">
        <f aca="false">说明与修订!$B$5+L30</f>
        <v>46357</v>
      </c>
      <c r="F30" s="13" t="n">
        <f aca="false">E30+D30-1</f>
        <v>46357</v>
      </c>
      <c r="G30" s="12" t="s">
        <v>29</v>
      </c>
      <c r="H30" s="14" t="s">
        <v>30</v>
      </c>
      <c r="I30" s="14" t="s">
        <v>25</v>
      </c>
      <c r="J30" s="12" t="s">
        <v>100</v>
      </c>
      <c r="K30" s="12" t="s">
        <v>101</v>
      </c>
      <c r="L30" s="0" t="n">
        <v>29</v>
      </c>
    </row>
    <row r="31" customFormat="false" ht="37.5" hidden="false" customHeight="true" outlineLevel="0" collapsed="false">
      <c r="A31" s="5" t="s">
        <v>102</v>
      </c>
      <c r="B31" s="9" t="n">
        <v>27</v>
      </c>
      <c r="C31" s="26" t="s">
        <v>103</v>
      </c>
      <c r="D31" s="9" t="n">
        <v>2</v>
      </c>
      <c r="E31" s="8" t="n">
        <f aca="false">说明与修订!$B$5+L31</f>
        <v>46358</v>
      </c>
      <c r="F31" s="8" t="n">
        <f aca="false">E31+D31-1</f>
        <v>46359</v>
      </c>
      <c r="G31" s="7" t="s">
        <v>29</v>
      </c>
      <c r="H31" s="9" t="s">
        <v>17</v>
      </c>
      <c r="I31" s="9" t="s">
        <v>25</v>
      </c>
      <c r="J31" s="7" t="s">
        <v>104</v>
      </c>
      <c r="K31" s="7"/>
      <c r="L31" s="0" t="n">
        <v>30</v>
      </c>
    </row>
    <row r="32" customFormat="false" ht="30" hidden="false" customHeight="true" outlineLevel="0" collapsed="false">
      <c r="A32" s="5"/>
      <c r="B32" s="14" t="n">
        <v>28</v>
      </c>
      <c r="C32" s="25" t="s">
        <v>105</v>
      </c>
      <c r="D32" s="14" t="n">
        <v>1</v>
      </c>
      <c r="E32" s="13" t="n">
        <f aca="false">说明与修订!$B$5+L32</f>
        <v>46359</v>
      </c>
      <c r="F32" s="13" t="n">
        <f aca="false">E32+D32-1</f>
        <v>46359</v>
      </c>
      <c r="G32" s="12" t="s">
        <v>29</v>
      </c>
      <c r="H32" s="14" t="s">
        <v>17</v>
      </c>
      <c r="I32" s="14" t="s">
        <v>25</v>
      </c>
      <c r="J32" s="12" t="s">
        <v>106</v>
      </c>
      <c r="K32" s="12" t="s">
        <v>107</v>
      </c>
      <c r="L32" s="0" t="n">
        <v>31</v>
      </c>
    </row>
    <row r="33" customFormat="false" ht="37.5" hidden="false" customHeight="true" outlineLevel="0" collapsed="false">
      <c r="A33" s="5"/>
      <c r="B33" s="9" t="n">
        <v>29</v>
      </c>
      <c r="C33" s="7" t="s">
        <v>108</v>
      </c>
      <c r="D33" s="9" t="n">
        <v>1</v>
      </c>
      <c r="E33" s="8" t="n">
        <f aca="false">说明与修订!$B$5+L33</f>
        <v>46360</v>
      </c>
      <c r="F33" s="8" t="n">
        <f aca="false">E33+D33-1</f>
        <v>46360</v>
      </c>
      <c r="G33" s="7" t="s">
        <v>17</v>
      </c>
      <c r="H33" s="9" t="s">
        <v>17</v>
      </c>
      <c r="I33" s="9" t="s">
        <v>25</v>
      </c>
      <c r="J33" s="7" t="s">
        <v>109</v>
      </c>
      <c r="K33" s="7"/>
      <c r="L33" s="0" t="n">
        <v>32</v>
      </c>
    </row>
    <row r="34" customFormat="false" ht="37.5" hidden="false" customHeight="true" outlineLevel="0" collapsed="false">
      <c r="A34" s="5"/>
      <c r="B34" s="18" t="n">
        <v>30</v>
      </c>
      <c r="C34" s="16" t="s">
        <v>110</v>
      </c>
      <c r="D34" s="18" t="n">
        <v>2</v>
      </c>
      <c r="E34" s="17" t="n">
        <f aca="false">说明与修订!$B$5+L34</f>
        <v>46361</v>
      </c>
      <c r="F34" s="17" t="n">
        <f aca="false">E34+D34-1</f>
        <v>46362</v>
      </c>
      <c r="G34" s="16" t="s">
        <v>17</v>
      </c>
      <c r="H34" s="18" t="s">
        <v>17</v>
      </c>
      <c r="I34" s="18" t="s">
        <v>25</v>
      </c>
      <c r="J34" s="16" t="s">
        <v>111</v>
      </c>
      <c r="K34" s="16" t="s">
        <v>112</v>
      </c>
      <c r="L34" s="0" t="n">
        <v>33</v>
      </c>
    </row>
    <row r="35" customFormat="false" ht="37.5" hidden="false" customHeight="true" outlineLevel="0" collapsed="false">
      <c r="A35" s="5"/>
      <c r="B35" s="9" t="n">
        <v>31</v>
      </c>
      <c r="C35" s="7" t="s">
        <v>113</v>
      </c>
      <c r="D35" s="9" t="n">
        <v>1</v>
      </c>
      <c r="E35" s="8" t="n">
        <f aca="false">说明与修订!$B$5+L35</f>
        <v>46361</v>
      </c>
      <c r="F35" s="8" t="n">
        <f aca="false">E35+D35-1</f>
        <v>46361</v>
      </c>
      <c r="G35" s="7" t="s">
        <v>29</v>
      </c>
      <c r="H35" s="9" t="s">
        <v>30</v>
      </c>
      <c r="I35" s="9" t="s">
        <v>25</v>
      </c>
      <c r="J35" s="7" t="s">
        <v>114</v>
      </c>
      <c r="K35" s="7"/>
      <c r="L35" s="0" t="n">
        <v>33</v>
      </c>
    </row>
    <row r="36" customFormat="false" ht="30" hidden="false" customHeight="true" outlineLevel="0" collapsed="false">
      <c r="A36" s="5"/>
      <c r="B36" s="14" t="n">
        <v>32</v>
      </c>
      <c r="C36" s="12" t="s">
        <v>115</v>
      </c>
      <c r="D36" s="14" t="n">
        <v>1</v>
      </c>
      <c r="E36" s="13" t="n">
        <f aca="false">说明与修订!$B$5+L36</f>
        <v>46363</v>
      </c>
      <c r="F36" s="13" t="n">
        <f aca="false">E36+D36-1</f>
        <v>46363</v>
      </c>
      <c r="G36" s="12" t="s">
        <v>29</v>
      </c>
      <c r="H36" s="14" t="s">
        <v>30</v>
      </c>
      <c r="I36" s="14" t="s">
        <v>25</v>
      </c>
      <c r="J36" s="12" t="s">
        <v>116</v>
      </c>
      <c r="K36" s="12"/>
      <c r="L36" s="0" t="n">
        <v>35</v>
      </c>
    </row>
    <row r="37" customFormat="false" ht="37.5" hidden="false" customHeight="true" outlineLevel="0" collapsed="false">
      <c r="A37" s="5"/>
      <c r="B37" s="22" t="n">
        <v>33</v>
      </c>
      <c r="C37" s="20" t="s">
        <v>117</v>
      </c>
      <c r="D37" s="22" t="n">
        <v>2</v>
      </c>
      <c r="E37" s="21" t="n">
        <f aca="false">说明与修订!$B$5+L37</f>
        <v>46363</v>
      </c>
      <c r="F37" s="21" t="n">
        <f aca="false">E37+D37-1</f>
        <v>46364</v>
      </c>
      <c r="G37" s="20" t="s">
        <v>29</v>
      </c>
      <c r="H37" s="22" t="s">
        <v>30</v>
      </c>
      <c r="I37" s="22" t="s">
        <v>25</v>
      </c>
      <c r="J37" s="20" t="s">
        <v>118</v>
      </c>
      <c r="K37" s="20" t="s">
        <v>119</v>
      </c>
      <c r="L37" s="0" t="n">
        <v>35</v>
      </c>
    </row>
    <row r="38" customFormat="false" ht="37.5" hidden="false" customHeight="true" outlineLevel="0" collapsed="false">
      <c r="A38" s="5"/>
      <c r="B38" s="18" t="n">
        <v>34</v>
      </c>
      <c r="C38" s="16" t="s">
        <v>120</v>
      </c>
      <c r="D38" s="18" t="n">
        <v>1</v>
      </c>
      <c r="E38" s="17" t="n">
        <f aca="false">说明与修订!$B$5+L38</f>
        <v>46364</v>
      </c>
      <c r="F38" s="17" t="n">
        <f aca="false">E38+D38-1</f>
        <v>46364</v>
      </c>
      <c r="G38" s="16" t="s">
        <v>17</v>
      </c>
      <c r="H38" s="18" t="s">
        <v>17</v>
      </c>
      <c r="I38" s="27" t="s">
        <v>121</v>
      </c>
      <c r="J38" s="16" t="s">
        <v>122</v>
      </c>
      <c r="K38" s="16" t="s">
        <v>123</v>
      </c>
      <c r="L38" s="0" t="n">
        <v>36</v>
      </c>
    </row>
    <row r="39" customFormat="false" ht="30" hidden="false" customHeight="true" outlineLevel="0" collapsed="false">
      <c r="A39" s="5"/>
      <c r="B39" s="9" t="n">
        <v>35</v>
      </c>
      <c r="C39" s="7" t="s">
        <v>124</v>
      </c>
      <c r="D39" s="9" t="n">
        <v>1</v>
      </c>
      <c r="E39" s="8" t="n">
        <f aca="false">说明与修订!$B$5+L39</f>
        <v>46365</v>
      </c>
      <c r="F39" s="8" t="n">
        <f aca="false">E39+D39-1</f>
        <v>46365</v>
      </c>
      <c r="G39" s="7" t="s">
        <v>16</v>
      </c>
      <c r="H39" s="9" t="s">
        <v>17</v>
      </c>
      <c r="I39" s="9" t="s">
        <v>25</v>
      </c>
      <c r="J39" s="7" t="s">
        <v>125</v>
      </c>
      <c r="K39" s="7"/>
      <c r="L39" s="0" t="n">
        <v>37</v>
      </c>
    </row>
    <row r="40" customFormat="false" ht="30" hidden="false" customHeight="true" outlineLevel="0" collapsed="false">
      <c r="A40" s="5" t="s">
        <v>126</v>
      </c>
      <c r="B40" s="14" t="n">
        <v>36</v>
      </c>
      <c r="C40" s="12" t="s">
        <v>127</v>
      </c>
      <c r="D40" s="14" t="n">
        <v>20</v>
      </c>
      <c r="E40" s="13" t="n">
        <f aca="false">说明与修订!$B$5+L40</f>
        <v>46366</v>
      </c>
      <c r="F40" s="13" t="n">
        <f aca="false">E40+D40-1</f>
        <v>46385</v>
      </c>
      <c r="G40" s="12" t="s">
        <v>29</v>
      </c>
      <c r="H40" s="14" t="s">
        <v>128</v>
      </c>
      <c r="I40" s="14" t="s">
        <v>25</v>
      </c>
      <c r="J40" s="12" t="s">
        <v>129</v>
      </c>
      <c r="K40" s="12" t="s">
        <v>130</v>
      </c>
      <c r="L40" s="0" t="n">
        <v>38</v>
      </c>
    </row>
    <row r="41" customFormat="false" ht="30" hidden="false" customHeight="true" outlineLevel="0" collapsed="false">
      <c r="A41" s="5"/>
      <c r="B41" s="9" t="n">
        <v>37</v>
      </c>
      <c r="C41" s="7" t="s">
        <v>131</v>
      </c>
      <c r="D41" s="9" t="n">
        <v>90</v>
      </c>
      <c r="E41" s="8" t="n">
        <f aca="false">说明与修订!$B$5+L41</f>
        <v>46366</v>
      </c>
      <c r="F41" s="8" t="n">
        <f aca="false">E41+D41-1</f>
        <v>46455</v>
      </c>
      <c r="G41" s="7" t="s">
        <v>17</v>
      </c>
      <c r="H41" s="9" t="s">
        <v>17</v>
      </c>
      <c r="I41" s="9" t="s">
        <v>25</v>
      </c>
      <c r="J41" s="7" t="s">
        <v>132</v>
      </c>
      <c r="K41" s="7" t="s">
        <v>133</v>
      </c>
      <c r="L41" s="0" t="n">
        <v>38</v>
      </c>
    </row>
    <row r="42" customFormat="false" ht="30" hidden="false" customHeight="true" outlineLevel="0" collapsed="false">
      <c r="A42" s="5"/>
      <c r="B42" s="14" t="n">
        <v>38</v>
      </c>
      <c r="C42" s="12" t="s">
        <v>134</v>
      </c>
      <c r="D42" s="14" t="n">
        <v>1</v>
      </c>
      <c r="E42" s="13" t="n">
        <f aca="false">说明与修订!$B$5+L42</f>
        <v>46456</v>
      </c>
      <c r="F42" s="13" t="n">
        <f aca="false">E42+D42-1</f>
        <v>46456</v>
      </c>
      <c r="G42" s="12" t="s">
        <v>17</v>
      </c>
      <c r="H42" s="14" t="s">
        <v>17</v>
      </c>
      <c r="I42" s="14" t="s">
        <v>25</v>
      </c>
      <c r="J42" s="12" t="s">
        <v>135</v>
      </c>
      <c r="K42" s="12" t="s">
        <v>136</v>
      </c>
      <c r="L42" s="0" t="n">
        <v>128</v>
      </c>
    </row>
    <row r="43" customFormat="false" ht="37.5" hidden="false" customHeight="true" outlineLevel="0" collapsed="false">
      <c r="A43" s="5"/>
      <c r="B43" s="9" t="n">
        <v>39</v>
      </c>
      <c r="C43" s="7" t="s">
        <v>137</v>
      </c>
      <c r="D43" s="9" t="n">
        <v>365</v>
      </c>
      <c r="E43" s="8" t="n">
        <f aca="false">说明与修订!$B$5+L43</f>
        <v>46457</v>
      </c>
      <c r="F43" s="8" t="n">
        <f aca="false">E43+D43-1</f>
        <v>46821</v>
      </c>
      <c r="G43" s="7" t="s">
        <v>30</v>
      </c>
      <c r="H43" s="9" t="s">
        <v>30</v>
      </c>
      <c r="I43" s="9" t="s">
        <v>25</v>
      </c>
      <c r="J43" s="7" t="s">
        <v>138</v>
      </c>
      <c r="K43" s="7" t="s">
        <v>139</v>
      </c>
      <c r="L43" s="0" t="n">
        <v>129</v>
      </c>
    </row>
    <row r="44" customFormat="false" ht="25.5" hidden="false" customHeight="true" outlineLevel="0" collapsed="false">
      <c r="A44" s="28" t="s">
        <v>140</v>
      </c>
      <c r="B44" s="28"/>
      <c r="C44" s="28"/>
      <c r="D44" s="28"/>
      <c r="E44" s="29"/>
      <c r="F44" s="29"/>
      <c r="G44" s="29"/>
      <c r="H44" s="29"/>
      <c r="I44" s="29"/>
      <c r="J44" s="29"/>
      <c r="K44" s="29"/>
    </row>
  </sheetData>
  <autoFilter ref="A4:K43"/>
  <mergeCells count="9">
    <mergeCell ref="A1:K1"/>
    <mergeCell ref="A2:K2"/>
    <mergeCell ref="A3:K3"/>
    <mergeCell ref="A6:A13"/>
    <mergeCell ref="A14:A19"/>
    <mergeCell ref="A20:A30"/>
    <mergeCell ref="A31:A39"/>
    <mergeCell ref="A40:A43"/>
    <mergeCell ref="A44:D44"/>
  </mergeCells>
  <dataValidations count="1">
    <dataValidation allowBlank="true" errorStyle="stop" operator="between" showDropDown="false" showErrorMessage="false" showInputMessage="false" sqref="I5:I43" type="list">
      <formula1>"未开始,进行中,已完成,受阻,待客户确认,待确认"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42"/>
    <col collapsed="false" customWidth="true" hidden="false" outlineLevel="0" max="4" min="4" style="0" width="6"/>
    <col collapsed="false" customWidth="true" hidden="false" outlineLevel="0" max="24" min="5" style="0" width="4.2"/>
  </cols>
  <sheetData>
    <row r="1" customFormat="false" ht="33.75" hidden="false" customHeight="true" outlineLevel="0" collapsed="false">
      <c r="A1" s="30" t="s">
        <v>141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customFormat="false" ht="39.75" hidden="false" customHeight="true" outlineLevel="0" collapsed="false">
      <c r="A2" s="31" t="s">
        <v>4</v>
      </c>
      <c r="B2" s="31" t="s">
        <v>3</v>
      </c>
      <c r="C2" s="31" t="s">
        <v>5</v>
      </c>
      <c r="D2" s="31" t="s">
        <v>142</v>
      </c>
      <c r="E2" s="32" t="str">
        <f aca="false">TEXT(说明与修订!$B$5+7*0,"mm/dd")</f>
        <v>11/02</v>
      </c>
      <c r="F2" s="32" t="str">
        <f aca="false">TEXT(说明与修订!$B$5+7*1,"mm/dd")</f>
        <v>11/09</v>
      </c>
      <c r="G2" s="32" t="str">
        <f aca="false">TEXT(说明与修订!$B$5+7*2,"mm/dd")</f>
        <v>11/16</v>
      </c>
      <c r="H2" s="32" t="str">
        <f aca="false">TEXT(说明与修订!$B$5+7*3,"mm/dd")</f>
        <v>11/23</v>
      </c>
      <c r="I2" s="32" t="str">
        <f aca="false">TEXT(说明与修订!$B$5+7*4,"mm/dd")</f>
        <v>11/30</v>
      </c>
      <c r="J2" s="32" t="str">
        <f aca="false">TEXT(说明与修订!$B$5+7*5,"mm/dd")</f>
        <v>12/07</v>
      </c>
      <c r="K2" s="32" t="str">
        <f aca="false">TEXT(说明与修订!$B$5+7*6,"mm/dd")</f>
        <v>12/14</v>
      </c>
      <c r="L2" s="32" t="str">
        <f aca="false">TEXT(说明与修订!$B$5+7*7,"mm/dd")</f>
        <v>12/21</v>
      </c>
      <c r="M2" s="32" t="str">
        <f aca="false">TEXT(说明与修订!$B$5+7*8,"mm/dd")</f>
        <v>12/28</v>
      </c>
      <c r="N2" s="32" t="str">
        <f aca="false">TEXT(说明与修订!$B$5+7*9,"mm/dd")</f>
        <v>01/04</v>
      </c>
      <c r="O2" s="32" t="str">
        <f aca="false">TEXT(说明与修订!$B$5+7*10,"mm/dd")</f>
        <v>01/11</v>
      </c>
      <c r="P2" s="32" t="str">
        <f aca="false">TEXT(说明与修订!$B$5+7*11,"mm/dd")</f>
        <v>01/18</v>
      </c>
      <c r="Q2" s="32" t="str">
        <f aca="false">TEXT(说明与修订!$B$5+7*12,"mm/dd")</f>
        <v>01/25</v>
      </c>
      <c r="R2" s="32" t="str">
        <f aca="false">TEXT(说明与修订!$B$5+7*13,"mm/dd")</f>
        <v>02/01</v>
      </c>
      <c r="S2" s="32" t="str">
        <f aca="false">TEXT(说明与修订!$B$5+7*14,"mm/dd")</f>
        <v>02/08</v>
      </c>
      <c r="T2" s="32" t="str">
        <f aca="false">TEXT(说明与修订!$B$5+7*15,"mm/dd")</f>
        <v>02/15</v>
      </c>
      <c r="U2" s="32" t="str">
        <f aca="false">TEXT(说明与修订!$B$5+7*16,"mm/dd")</f>
        <v>02/22</v>
      </c>
      <c r="V2" s="32" t="str">
        <f aca="false">TEXT(说明与修订!$B$5+7*17,"mm/dd")</f>
        <v>03/01</v>
      </c>
      <c r="W2" s="32" t="str">
        <f aca="false">TEXT(说明与修订!$B$5+7*18,"mm/dd")</f>
        <v>03/08</v>
      </c>
      <c r="X2" s="32" t="str">
        <f aca="false">TEXT(说明与修订!$B$5+7*19,"mm/dd")</f>
        <v>03/15</v>
      </c>
    </row>
    <row r="3" customFormat="false" ht="25.5" hidden="false" customHeight="true" outlineLevel="0" collapsed="false">
      <c r="A3" s="33" t="n">
        <v>1</v>
      </c>
      <c r="B3" s="34" t="s">
        <v>14</v>
      </c>
      <c r="C3" s="35" t="s">
        <v>143</v>
      </c>
      <c r="D3" s="33" t="n">
        <v>2</v>
      </c>
      <c r="E3" s="36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 customFormat="false" ht="25.5" hidden="false" customHeight="true" outlineLevel="0" collapsed="false">
      <c r="A4" s="33" t="n">
        <v>2</v>
      </c>
      <c r="B4" s="34" t="s">
        <v>21</v>
      </c>
      <c r="C4" s="35" t="s">
        <v>144</v>
      </c>
      <c r="D4" s="33" t="n">
        <v>2</v>
      </c>
      <c r="E4" s="38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</row>
    <row r="5" customFormat="false" ht="25.5" hidden="false" customHeight="true" outlineLevel="0" collapsed="false">
      <c r="A5" s="33" t="n">
        <v>3</v>
      </c>
      <c r="B5" s="34" t="s">
        <v>21</v>
      </c>
      <c r="C5" s="35" t="s">
        <v>145</v>
      </c>
      <c r="D5" s="33" t="n">
        <v>1</v>
      </c>
      <c r="E5" s="38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</row>
    <row r="6" customFormat="false" ht="25.5" hidden="false" customHeight="true" outlineLevel="0" collapsed="false">
      <c r="A6" s="33" t="n">
        <v>4</v>
      </c>
      <c r="B6" s="34" t="s">
        <v>21</v>
      </c>
      <c r="C6" s="35" t="s">
        <v>146</v>
      </c>
      <c r="D6" s="33" t="n">
        <v>1</v>
      </c>
      <c r="E6" s="38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 customFormat="false" ht="25.5" hidden="false" customHeight="true" outlineLevel="0" collapsed="false">
      <c r="A7" s="33" t="n">
        <v>5</v>
      </c>
      <c r="B7" s="34" t="s">
        <v>21</v>
      </c>
      <c r="C7" s="35" t="s">
        <v>147</v>
      </c>
      <c r="D7" s="33" t="n">
        <v>2</v>
      </c>
      <c r="E7" s="38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 customFormat="false" ht="25.5" hidden="false" customHeight="true" outlineLevel="0" collapsed="false">
      <c r="A8" s="33" t="n">
        <v>6</v>
      </c>
      <c r="B8" s="34" t="s">
        <v>21</v>
      </c>
      <c r="C8" s="35" t="s">
        <v>148</v>
      </c>
      <c r="D8" s="33" t="n">
        <v>4</v>
      </c>
      <c r="E8" s="38"/>
      <c r="F8" s="38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 customFormat="false" ht="25.5" hidden="false" customHeight="true" outlineLevel="0" collapsed="false">
      <c r="A9" s="33" t="n">
        <v>7</v>
      </c>
      <c r="B9" s="34" t="s">
        <v>21</v>
      </c>
      <c r="C9" s="35" t="s">
        <v>149</v>
      </c>
      <c r="D9" s="33" t="n">
        <v>3</v>
      </c>
      <c r="E9" s="37"/>
      <c r="F9" s="38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</row>
    <row r="10" customFormat="false" ht="25.5" hidden="false" customHeight="true" outlineLevel="0" collapsed="false">
      <c r="A10" s="33" t="n">
        <v>8</v>
      </c>
      <c r="B10" s="34" t="s">
        <v>21</v>
      </c>
      <c r="C10" s="35" t="s">
        <v>150</v>
      </c>
      <c r="D10" s="33" t="n">
        <v>1</v>
      </c>
      <c r="E10" s="37"/>
      <c r="F10" s="38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customFormat="false" ht="25.5" hidden="false" customHeight="true" outlineLevel="0" collapsed="false">
      <c r="A11" s="33" t="n">
        <v>9</v>
      </c>
      <c r="B11" s="34" t="s">
        <v>21</v>
      </c>
      <c r="C11" s="35" t="s">
        <v>51</v>
      </c>
      <c r="D11" s="33" t="n">
        <v>2</v>
      </c>
      <c r="E11" s="38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 customFormat="false" ht="25.5" hidden="false" customHeight="true" outlineLevel="0" collapsed="false">
      <c r="A12" s="33" t="n">
        <v>10</v>
      </c>
      <c r="B12" s="39" t="s">
        <v>151</v>
      </c>
      <c r="C12" s="35" t="s">
        <v>152</v>
      </c>
      <c r="D12" s="33" t="n">
        <v>2</v>
      </c>
      <c r="E12" s="37"/>
      <c r="F12" s="40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</row>
    <row r="13" customFormat="false" ht="25.5" hidden="false" customHeight="true" outlineLevel="0" collapsed="false">
      <c r="A13" s="33" t="n">
        <v>11</v>
      </c>
      <c r="B13" s="39" t="s">
        <v>151</v>
      </c>
      <c r="C13" s="35" t="s">
        <v>153</v>
      </c>
      <c r="D13" s="33" t="n">
        <v>2</v>
      </c>
      <c r="E13" s="37"/>
      <c r="F13" s="40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 customFormat="false" ht="25.5" hidden="false" customHeight="true" outlineLevel="0" collapsed="false">
      <c r="A14" s="33" t="n">
        <v>12</v>
      </c>
      <c r="B14" s="39" t="s">
        <v>151</v>
      </c>
      <c r="C14" s="35" t="s">
        <v>154</v>
      </c>
      <c r="D14" s="33" t="n">
        <v>3</v>
      </c>
      <c r="E14" s="37"/>
      <c r="F14" s="37"/>
      <c r="G14" s="40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customFormat="false" ht="25.5" hidden="false" customHeight="true" outlineLevel="0" collapsed="false">
      <c r="A15" s="33" t="n">
        <v>13</v>
      </c>
      <c r="B15" s="39" t="s">
        <v>151</v>
      </c>
      <c r="C15" s="35" t="s">
        <v>155</v>
      </c>
      <c r="D15" s="33" t="n">
        <v>2</v>
      </c>
      <c r="E15" s="37"/>
      <c r="F15" s="37"/>
      <c r="G15" s="40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customFormat="false" ht="25.5" hidden="false" customHeight="true" outlineLevel="0" collapsed="false">
      <c r="A16" s="33" t="n">
        <v>14</v>
      </c>
      <c r="B16" s="39" t="s">
        <v>151</v>
      </c>
      <c r="C16" s="35" t="s">
        <v>156</v>
      </c>
      <c r="D16" s="33" t="n">
        <v>1</v>
      </c>
      <c r="E16" s="37"/>
      <c r="F16" s="37"/>
      <c r="G16" s="40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 customFormat="false" ht="25.5" hidden="false" customHeight="true" outlineLevel="0" collapsed="false">
      <c r="A17" s="33" t="n">
        <v>15</v>
      </c>
      <c r="B17" s="39" t="s">
        <v>151</v>
      </c>
      <c r="C17" s="35" t="s">
        <v>157</v>
      </c>
      <c r="D17" s="33" t="n">
        <v>2</v>
      </c>
      <c r="E17" s="37"/>
      <c r="F17" s="37"/>
      <c r="G17" s="40"/>
      <c r="H17" s="40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customFormat="false" ht="25.5" hidden="false" customHeight="true" outlineLevel="0" collapsed="false">
      <c r="A18" s="33" t="n">
        <v>16</v>
      </c>
      <c r="B18" s="34" t="s">
        <v>72</v>
      </c>
      <c r="C18" s="35" t="s">
        <v>73</v>
      </c>
      <c r="D18" s="33" t="n">
        <v>1</v>
      </c>
      <c r="E18" s="37"/>
      <c r="F18" s="37"/>
      <c r="G18" s="37"/>
      <c r="H18" s="41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</row>
    <row r="19" customFormat="false" ht="25.5" hidden="false" customHeight="true" outlineLevel="0" collapsed="false">
      <c r="A19" s="33" t="n">
        <v>17</v>
      </c>
      <c r="B19" s="34" t="s">
        <v>72</v>
      </c>
      <c r="C19" s="35" t="s">
        <v>158</v>
      </c>
      <c r="D19" s="33" t="n">
        <v>2</v>
      </c>
      <c r="E19" s="37"/>
      <c r="F19" s="37"/>
      <c r="G19" s="37"/>
      <c r="H19" s="41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customFormat="false" ht="25.5" hidden="false" customHeight="true" outlineLevel="0" collapsed="false">
      <c r="A20" s="33" t="n">
        <v>18</v>
      </c>
      <c r="B20" s="34" t="s">
        <v>72</v>
      </c>
      <c r="C20" s="35" t="s">
        <v>159</v>
      </c>
      <c r="D20" s="33" t="n">
        <v>1</v>
      </c>
      <c r="E20" s="37"/>
      <c r="F20" s="37"/>
      <c r="G20" s="37"/>
      <c r="H20" s="41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customFormat="false" ht="25.5" hidden="false" customHeight="true" outlineLevel="0" collapsed="false">
      <c r="A21" s="33" t="n">
        <v>19</v>
      </c>
      <c r="B21" s="34" t="s">
        <v>72</v>
      </c>
      <c r="C21" s="35" t="s">
        <v>80</v>
      </c>
      <c r="D21" s="33" t="n">
        <v>1</v>
      </c>
      <c r="E21" s="37"/>
      <c r="F21" s="37"/>
      <c r="G21" s="37"/>
      <c r="H21" s="41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customFormat="false" ht="25.5" hidden="false" customHeight="true" outlineLevel="0" collapsed="false">
      <c r="A22" s="33" t="n">
        <v>20</v>
      </c>
      <c r="B22" s="34" t="s">
        <v>72</v>
      </c>
      <c r="C22" s="35" t="s">
        <v>83</v>
      </c>
      <c r="D22" s="33" t="n">
        <v>1</v>
      </c>
      <c r="E22" s="37"/>
      <c r="F22" s="37"/>
      <c r="G22" s="37"/>
      <c r="H22" s="41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customFormat="false" ht="25.5" hidden="false" customHeight="true" outlineLevel="0" collapsed="false">
      <c r="A23" s="33" t="n">
        <v>21</v>
      </c>
      <c r="B23" s="34" t="s">
        <v>72</v>
      </c>
      <c r="C23" s="35" t="s">
        <v>85</v>
      </c>
      <c r="D23" s="33" t="n">
        <v>1</v>
      </c>
      <c r="E23" s="37"/>
      <c r="F23" s="37"/>
      <c r="G23" s="37"/>
      <c r="H23" s="41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 customFormat="false" ht="25.5" hidden="false" customHeight="true" outlineLevel="0" collapsed="false">
      <c r="A24" s="33" t="n">
        <v>22</v>
      </c>
      <c r="B24" s="34" t="s">
        <v>72</v>
      </c>
      <c r="C24" s="35" t="s">
        <v>88</v>
      </c>
      <c r="D24" s="33" t="n">
        <v>2</v>
      </c>
      <c r="E24" s="37"/>
      <c r="F24" s="37"/>
      <c r="G24" s="37"/>
      <c r="H24" s="41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customFormat="false" ht="25.5" hidden="false" customHeight="true" outlineLevel="0" collapsed="false">
      <c r="A25" s="33" t="n">
        <v>23</v>
      </c>
      <c r="B25" s="34" t="s">
        <v>72</v>
      </c>
      <c r="C25" s="35" t="s">
        <v>160</v>
      </c>
      <c r="D25" s="33" t="n">
        <v>1</v>
      </c>
      <c r="E25" s="37"/>
      <c r="F25" s="37"/>
      <c r="G25" s="37"/>
      <c r="H25" s="41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customFormat="false" ht="25.5" hidden="false" customHeight="true" outlineLevel="0" collapsed="false">
      <c r="A26" s="33" t="n">
        <v>24</v>
      </c>
      <c r="B26" s="34" t="s">
        <v>72</v>
      </c>
      <c r="C26" s="35" t="s">
        <v>161</v>
      </c>
      <c r="D26" s="33" t="n">
        <v>1</v>
      </c>
      <c r="E26" s="37"/>
      <c r="F26" s="37"/>
      <c r="G26" s="37"/>
      <c r="H26" s="37"/>
      <c r="I26" s="41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customFormat="false" ht="25.5" hidden="false" customHeight="true" outlineLevel="0" collapsed="false">
      <c r="A27" s="33" t="n">
        <v>25</v>
      </c>
      <c r="B27" s="34" t="s">
        <v>72</v>
      </c>
      <c r="C27" s="35" t="s">
        <v>162</v>
      </c>
      <c r="D27" s="33" t="n">
        <v>1</v>
      </c>
      <c r="E27" s="37"/>
      <c r="F27" s="37"/>
      <c r="G27" s="37"/>
      <c r="H27" s="37"/>
      <c r="I27" s="41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customFormat="false" ht="25.5" hidden="false" customHeight="true" outlineLevel="0" collapsed="false">
      <c r="A28" s="33" t="n">
        <v>26</v>
      </c>
      <c r="B28" s="34" t="s">
        <v>72</v>
      </c>
      <c r="C28" s="35" t="s">
        <v>163</v>
      </c>
      <c r="D28" s="33" t="n">
        <v>1</v>
      </c>
      <c r="E28" s="37"/>
      <c r="F28" s="37"/>
      <c r="G28" s="37"/>
      <c r="H28" s="37"/>
      <c r="I28" s="41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customFormat="false" ht="25.5" hidden="false" customHeight="true" outlineLevel="0" collapsed="false">
      <c r="A29" s="33" t="n">
        <v>27</v>
      </c>
      <c r="B29" s="34" t="s">
        <v>102</v>
      </c>
      <c r="C29" s="42" t="s">
        <v>164</v>
      </c>
      <c r="D29" s="33" t="n">
        <v>2</v>
      </c>
      <c r="E29" s="37"/>
      <c r="F29" s="37"/>
      <c r="G29" s="37"/>
      <c r="H29" s="37"/>
      <c r="I29" s="43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customFormat="false" ht="25.5" hidden="false" customHeight="true" outlineLevel="0" collapsed="false">
      <c r="A30" s="33" t="n">
        <v>28</v>
      </c>
      <c r="B30" s="34" t="s">
        <v>102</v>
      </c>
      <c r="C30" s="42" t="s">
        <v>165</v>
      </c>
      <c r="D30" s="33" t="n">
        <v>1</v>
      </c>
      <c r="E30" s="37"/>
      <c r="F30" s="37"/>
      <c r="G30" s="37"/>
      <c r="H30" s="37"/>
      <c r="I30" s="43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</row>
    <row r="31" customFormat="false" ht="25.5" hidden="false" customHeight="true" outlineLevel="0" collapsed="false">
      <c r="A31" s="33" t="n">
        <v>29</v>
      </c>
      <c r="B31" s="34" t="s">
        <v>102</v>
      </c>
      <c r="C31" s="35" t="s">
        <v>108</v>
      </c>
      <c r="D31" s="33" t="n">
        <v>1</v>
      </c>
      <c r="E31" s="37"/>
      <c r="F31" s="37"/>
      <c r="G31" s="37"/>
      <c r="H31" s="37"/>
      <c r="I31" s="43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 customFormat="false" ht="25.5" hidden="false" customHeight="true" outlineLevel="0" collapsed="false">
      <c r="A32" s="33" t="n">
        <v>30</v>
      </c>
      <c r="B32" s="34" t="s">
        <v>102</v>
      </c>
      <c r="C32" s="35" t="s">
        <v>166</v>
      </c>
      <c r="D32" s="33" t="n">
        <v>2</v>
      </c>
      <c r="E32" s="37"/>
      <c r="F32" s="37"/>
      <c r="G32" s="37"/>
      <c r="H32" s="37"/>
      <c r="I32" s="43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</row>
    <row r="33" customFormat="false" ht="25.5" hidden="false" customHeight="true" outlineLevel="0" collapsed="false">
      <c r="A33" s="33" t="n">
        <v>31</v>
      </c>
      <c r="B33" s="34" t="s">
        <v>102</v>
      </c>
      <c r="C33" s="35" t="s">
        <v>113</v>
      </c>
      <c r="D33" s="33" t="n">
        <v>1</v>
      </c>
      <c r="E33" s="37"/>
      <c r="F33" s="37"/>
      <c r="G33" s="37"/>
      <c r="H33" s="37"/>
      <c r="I33" s="43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</row>
    <row r="34" customFormat="false" ht="25.5" hidden="false" customHeight="true" outlineLevel="0" collapsed="false">
      <c r="A34" s="33" t="n">
        <v>32</v>
      </c>
      <c r="B34" s="34" t="s">
        <v>102</v>
      </c>
      <c r="C34" s="35" t="s">
        <v>167</v>
      </c>
      <c r="D34" s="33" t="n">
        <v>1</v>
      </c>
      <c r="E34" s="37"/>
      <c r="F34" s="37"/>
      <c r="G34" s="37"/>
      <c r="H34" s="37"/>
      <c r="I34" s="37"/>
      <c r="J34" s="43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</row>
    <row r="35" customFormat="false" ht="25.5" hidden="false" customHeight="true" outlineLevel="0" collapsed="false">
      <c r="A35" s="33" t="n">
        <v>33</v>
      </c>
      <c r="B35" s="34" t="s">
        <v>102</v>
      </c>
      <c r="C35" s="35" t="s">
        <v>117</v>
      </c>
      <c r="D35" s="33" t="n">
        <v>2</v>
      </c>
      <c r="E35" s="37"/>
      <c r="F35" s="37"/>
      <c r="G35" s="37"/>
      <c r="H35" s="37"/>
      <c r="I35" s="37"/>
      <c r="J35" s="43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</row>
    <row r="36" customFormat="false" ht="25.5" hidden="false" customHeight="true" outlineLevel="0" collapsed="false">
      <c r="A36" s="33" t="n">
        <v>34</v>
      </c>
      <c r="B36" s="34" t="s">
        <v>102</v>
      </c>
      <c r="C36" s="35" t="s">
        <v>120</v>
      </c>
      <c r="D36" s="33" t="n">
        <v>1</v>
      </c>
      <c r="E36" s="37"/>
      <c r="F36" s="37"/>
      <c r="G36" s="37"/>
      <c r="H36" s="37"/>
      <c r="I36" s="37"/>
      <c r="J36" s="43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 customFormat="false" ht="25.5" hidden="false" customHeight="true" outlineLevel="0" collapsed="false">
      <c r="A37" s="33" t="n">
        <v>35</v>
      </c>
      <c r="B37" s="34" t="s">
        <v>102</v>
      </c>
      <c r="C37" s="35" t="s">
        <v>124</v>
      </c>
      <c r="D37" s="33" t="n">
        <v>1</v>
      </c>
      <c r="E37" s="37"/>
      <c r="F37" s="37"/>
      <c r="G37" s="37"/>
      <c r="H37" s="37"/>
      <c r="I37" s="37"/>
      <c r="J37" s="43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38" customFormat="false" ht="25.5" hidden="false" customHeight="true" outlineLevel="0" collapsed="false">
      <c r="A38" s="33" t="n">
        <v>36</v>
      </c>
      <c r="B38" s="34" t="s">
        <v>126</v>
      </c>
      <c r="C38" s="35" t="s">
        <v>168</v>
      </c>
      <c r="D38" s="33" t="n">
        <v>20</v>
      </c>
      <c r="E38" s="37"/>
      <c r="F38" s="37"/>
      <c r="G38" s="37"/>
      <c r="H38" s="37"/>
      <c r="I38" s="37"/>
      <c r="J38" s="44"/>
      <c r="K38" s="44"/>
      <c r="L38" s="44"/>
      <c r="M38" s="44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</row>
    <row r="39" customFormat="false" ht="25.5" hidden="false" customHeight="true" outlineLevel="0" collapsed="false">
      <c r="A39" s="33" t="n">
        <v>37</v>
      </c>
      <c r="B39" s="34" t="s">
        <v>126</v>
      </c>
      <c r="C39" s="35" t="s">
        <v>131</v>
      </c>
      <c r="D39" s="33" t="n">
        <v>90</v>
      </c>
      <c r="E39" s="37"/>
      <c r="F39" s="37"/>
      <c r="G39" s="37"/>
      <c r="H39" s="37"/>
      <c r="I39" s="37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37"/>
    </row>
    <row r="40" customFormat="false" ht="25.5" hidden="false" customHeight="true" outlineLevel="0" collapsed="false">
      <c r="A40" s="33" t="n">
        <v>38</v>
      </c>
      <c r="B40" s="34" t="s">
        <v>126</v>
      </c>
      <c r="C40" s="35" t="s">
        <v>134</v>
      </c>
      <c r="D40" s="33" t="n">
        <v>1</v>
      </c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44"/>
      <c r="X40" s="37"/>
    </row>
    <row r="42" customFormat="false" ht="15" hidden="false" customHeight="false" outlineLevel="0" collapsed="false">
      <c r="A42" s="45" t="s">
        <v>169</v>
      </c>
    </row>
  </sheetData>
  <mergeCells count="1">
    <mergeCell ref="A1:X1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8" min="8" style="0" width="8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11"/>
  </cols>
  <sheetData>
    <row r="1" customFormat="false" ht="31.5" hidden="false" customHeight="true" outlineLevel="0" collapsed="false">
      <c r="A1" s="46" t="s">
        <v>170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33.75" hidden="false" customHeight="true" outlineLevel="0" collapsed="false">
      <c r="A2" s="4" t="s">
        <v>171</v>
      </c>
      <c r="B2" s="4" t="s">
        <v>172</v>
      </c>
      <c r="C2" s="4" t="s">
        <v>173</v>
      </c>
      <c r="D2" s="4" t="s">
        <v>174</v>
      </c>
      <c r="E2" s="4" t="s">
        <v>175</v>
      </c>
      <c r="F2" s="4" t="s">
        <v>176</v>
      </c>
      <c r="G2" s="4" t="s">
        <v>177</v>
      </c>
      <c r="H2" s="47" t="s">
        <v>178</v>
      </c>
      <c r="I2" s="4" t="s">
        <v>179</v>
      </c>
      <c r="J2" s="4" t="s">
        <v>180</v>
      </c>
      <c r="K2" s="4" t="s">
        <v>181</v>
      </c>
    </row>
    <row r="3" customFormat="false" ht="24" hidden="false" customHeight="true" outlineLevel="0" collapsed="false">
      <c r="A3" s="48" t="s">
        <v>182</v>
      </c>
      <c r="B3" s="49" t="s">
        <v>183</v>
      </c>
      <c r="C3" s="49" t="s">
        <v>183</v>
      </c>
      <c r="D3" s="49" t="s">
        <v>183</v>
      </c>
      <c r="E3" s="49" t="s">
        <v>183</v>
      </c>
      <c r="F3" s="49" t="s">
        <v>183</v>
      </c>
      <c r="G3" s="50" t="s">
        <v>184</v>
      </c>
      <c r="H3" s="49" t="s">
        <v>183</v>
      </c>
      <c r="I3" s="50" t="s">
        <v>185</v>
      </c>
      <c r="J3" s="50"/>
      <c r="K3" s="50"/>
    </row>
    <row r="4" customFormat="false" ht="24" hidden="false" customHeight="true" outlineLevel="0" collapsed="false">
      <c r="A4" s="51" t="s">
        <v>186</v>
      </c>
      <c r="B4" s="52" t="s">
        <v>183</v>
      </c>
      <c r="C4" s="52" t="s">
        <v>183</v>
      </c>
      <c r="D4" s="52" t="s">
        <v>183</v>
      </c>
      <c r="E4" s="52" t="s">
        <v>183</v>
      </c>
      <c r="F4" s="52" t="s">
        <v>183</v>
      </c>
      <c r="G4" s="53" t="s">
        <v>184</v>
      </c>
      <c r="H4" s="52" t="s">
        <v>183</v>
      </c>
      <c r="I4" s="53" t="s">
        <v>185</v>
      </c>
      <c r="J4" s="53"/>
      <c r="K4" s="53"/>
    </row>
    <row r="5" customFormat="false" ht="24" hidden="false" customHeight="true" outlineLevel="0" collapsed="false">
      <c r="A5" s="48" t="s">
        <v>187</v>
      </c>
      <c r="B5" s="49" t="s">
        <v>183</v>
      </c>
      <c r="C5" s="49" t="s">
        <v>183</v>
      </c>
      <c r="D5" s="49" t="s">
        <v>183</v>
      </c>
      <c r="E5" s="49" t="s">
        <v>183</v>
      </c>
      <c r="F5" s="49" t="s">
        <v>183</v>
      </c>
      <c r="G5" s="50" t="s">
        <v>184</v>
      </c>
      <c r="H5" s="49" t="s">
        <v>183</v>
      </c>
      <c r="I5" s="50" t="s">
        <v>185</v>
      </c>
      <c r="J5" s="50"/>
      <c r="K5" s="50"/>
    </row>
    <row r="6" customFormat="false" ht="24" hidden="false" customHeight="true" outlineLevel="0" collapsed="false">
      <c r="A6" s="51" t="s">
        <v>188</v>
      </c>
      <c r="B6" s="52" t="s">
        <v>183</v>
      </c>
      <c r="C6" s="52" t="s">
        <v>183</v>
      </c>
      <c r="D6" s="52" t="s">
        <v>183</v>
      </c>
      <c r="E6" s="52" t="s">
        <v>183</v>
      </c>
      <c r="F6" s="52" t="s">
        <v>183</v>
      </c>
      <c r="G6" s="53" t="s">
        <v>184</v>
      </c>
      <c r="H6" s="52" t="s">
        <v>183</v>
      </c>
      <c r="I6" s="53" t="s">
        <v>185</v>
      </c>
      <c r="J6" s="53"/>
      <c r="K6" s="53"/>
    </row>
    <row r="7" customFormat="false" ht="24" hidden="false" customHeight="true" outlineLevel="0" collapsed="false">
      <c r="A7" s="48" t="s">
        <v>189</v>
      </c>
      <c r="B7" s="49" t="s">
        <v>183</v>
      </c>
      <c r="C7" s="49" t="s">
        <v>183</v>
      </c>
      <c r="D7" s="49" t="s">
        <v>183</v>
      </c>
      <c r="E7" s="49" t="s">
        <v>183</v>
      </c>
      <c r="F7" s="49" t="s">
        <v>183</v>
      </c>
      <c r="G7" s="50" t="s">
        <v>184</v>
      </c>
      <c r="H7" s="49" t="s">
        <v>183</v>
      </c>
      <c r="I7" s="50" t="s">
        <v>185</v>
      </c>
      <c r="J7" s="50"/>
      <c r="K7" s="50"/>
    </row>
    <row r="8" customFormat="false" ht="24" hidden="false" customHeight="true" outlineLevel="0" collapsed="false">
      <c r="A8" s="51" t="s">
        <v>190</v>
      </c>
      <c r="B8" s="52" t="s">
        <v>183</v>
      </c>
      <c r="C8" s="52" t="s">
        <v>183</v>
      </c>
      <c r="D8" s="52" t="s">
        <v>183</v>
      </c>
      <c r="E8" s="52" t="s">
        <v>183</v>
      </c>
      <c r="F8" s="52" t="s">
        <v>183</v>
      </c>
      <c r="G8" s="53" t="s">
        <v>184</v>
      </c>
      <c r="H8" s="52" t="s">
        <v>183</v>
      </c>
      <c r="I8" s="53" t="s">
        <v>185</v>
      </c>
      <c r="J8" s="53"/>
      <c r="K8" s="53"/>
    </row>
    <row r="9" customFormat="false" ht="24" hidden="false" customHeight="true" outlineLevel="0" collapsed="false">
      <c r="A9" s="48" t="s">
        <v>191</v>
      </c>
      <c r="B9" s="49" t="s">
        <v>183</v>
      </c>
      <c r="C9" s="49" t="s">
        <v>183</v>
      </c>
      <c r="D9" s="49" t="s">
        <v>183</v>
      </c>
      <c r="E9" s="49" t="s">
        <v>183</v>
      </c>
      <c r="F9" s="49" t="s">
        <v>183</v>
      </c>
      <c r="G9" s="50" t="s">
        <v>184</v>
      </c>
      <c r="H9" s="49" t="s">
        <v>183</v>
      </c>
      <c r="I9" s="50" t="s">
        <v>185</v>
      </c>
      <c r="J9" s="50"/>
      <c r="K9" s="50"/>
    </row>
    <row r="10" customFormat="false" ht="24" hidden="false" customHeight="true" outlineLevel="0" collapsed="false">
      <c r="A10" s="51" t="s">
        <v>192</v>
      </c>
      <c r="B10" s="52" t="s">
        <v>183</v>
      </c>
      <c r="C10" s="52" t="s">
        <v>183</v>
      </c>
      <c r="D10" s="52" t="s">
        <v>183</v>
      </c>
      <c r="E10" s="52" t="s">
        <v>183</v>
      </c>
      <c r="F10" s="52" t="s">
        <v>183</v>
      </c>
      <c r="G10" s="53" t="s">
        <v>184</v>
      </c>
      <c r="H10" s="52" t="s">
        <v>183</v>
      </c>
      <c r="I10" s="53" t="s">
        <v>185</v>
      </c>
      <c r="J10" s="53"/>
      <c r="K10" s="53"/>
    </row>
    <row r="11" customFormat="false" ht="24" hidden="false" customHeight="true" outlineLevel="0" collapsed="false">
      <c r="A11" s="48" t="s">
        <v>193</v>
      </c>
      <c r="B11" s="49" t="s">
        <v>183</v>
      </c>
      <c r="C11" s="49" t="s">
        <v>183</v>
      </c>
      <c r="D11" s="49" t="s">
        <v>183</v>
      </c>
      <c r="E11" s="49" t="s">
        <v>183</v>
      </c>
      <c r="F11" s="49" t="s">
        <v>183</v>
      </c>
      <c r="G11" s="50" t="s">
        <v>184</v>
      </c>
      <c r="H11" s="49" t="s">
        <v>183</v>
      </c>
      <c r="I11" s="50" t="s">
        <v>185</v>
      </c>
      <c r="J11" s="50"/>
      <c r="K11" s="50"/>
    </row>
    <row r="12" customFormat="false" ht="24" hidden="false" customHeight="true" outlineLevel="0" collapsed="false">
      <c r="A12" s="51" t="s">
        <v>194</v>
      </c>
      <c r="B12" s="52" t="s">
        <v>183</v>
      </c>
      <c r="C12" s="52" t="s">
        <v>183</v>
      </c>
      <c r="D12" s="52" t="s">
        <v>183</v>
      </c>
      <c r="E12" s="52" t="s">
        <v>183</v>
      </c>
      <c r="F12" s="52" t="s">
        <v>183</v>
      </c>
      <c r="G12" s="53" t="s">
        <v>184</v>
      </c>
      <c r="H12" s="52" t="s">
        <v>183</v>
      </c>
      <c r="I12" s="53" t="s">
        <v>185</v>
      </c>
      <c r="J12" s="53"/>
      <c r="K12" s="53"/>
    </row>
    <row r="13" customFormat="false" ht="24" hidden="false" customHeight="true" outlineLevel="0" collapsed="false">
      <c r="A13" s="48" t="s">
        <v>195</v>
      </c>
      <c r="B13" s="49" t="s">
        <v>183</v>
      </c>
      <c r="C13" s="49" t="s">
        <v>183</v>
      </c>
      <c r="D13" s="49" t="s">
        <v>183</v>
      </c>
      <c r="E13" s="49" t="s">
        <v>183</v>
      </c>
      <c r="F13" s="49" t="s">
        <v>183</v>
      </c>
      <c r="G13" s="54" t="s">
        <v>196</v>
      </c>
      <c r="H13" s="49" t="s">
        <v>183</v>
      </c>
      <c r="I13" s="55" t="s">
        <v>197</v>
      </c>
      <c r="J13" s="50"/>
      <c r="K13" s="50"/>
    </row>
    <row r="14" customFormat="false" ht="24" hidden="false" customHeight="true" outlineLevel="0" collapsed="false">
      <c r="A14" s="51" t="s">
        <v>198</v>
      </c>
      <c r="B14" s="52" t="s">
        <v>183</v>
      </c>
      <c r="C14" s="52" t="s">
        <v>183</v>
      </c>
      <c r="D14" s="52" t="s">
        <v>183</v>
      </c>
      <c r="E14" s="52" t="s">
        <v>183</v>
      </c>
      <c r="F14" s="52" t="s">
        <v>183</v>
      </c>
      <c r="G14" s="54" t="s">
        <v>196</v>
      </c>
      <c r="H14" s="52" t="s">
        <v>183</v>
      </c>
      <c r="I14" s="55" t="s">
        <v>197</v>
      </c>
      <c r="J14" s="53"/>
      <c r="K14" s="53"/>
    </row>
    <row r="15" customFormat="false" ht="24" hidden="false" customHeight="true" outlineLevel="0" collapsed="false">
      <c r="A15" s="48" t="s">
        <v>199</v>
      </c>
      <c r="B15" s="49" t="s">
        <v>183</v>
      </c>
      <c r="C15" s="49" t="s">
        <v>183</v>
      </c>
      <c r="D15" s="49" t="s">
        <v>183</v>
      </c>
      <c r="E15" s="49" t="s">
        <v>183</v>
      </c>
      <c r="F15" s="49" t="s">
        <v>183</v>
      </c>
      <c r="G15" s="54" t="s">
        <v>196</v>
      </c>
      <c r="H15" s="49" t="s">
        <v>183</v>
      </c>
      <c r="I15" s="55" t="s">
        <v>197</v>
      </c>
      <c r="J15" s="50"/>
      <c r="K15" s="50"/>
    </row>
    <row r="16" customFormat="false" ht="24" hidden="false" customHeight="true" outlineLevel="0" collapsed="false">
      <c r="A16" s="51" t="s">
        <v>200</v>
      </c>
      <c r="B16" s="52" t="s">
        <v>183</v>
      </c>
      <c r="C16" s="52" t="s">
        <v>183</v>
      </c>
      <c r="D16" s="52" t="s">
        <v>183</v>
      </c>
      <c r="E16" s="52" t="s">
        <v>183</v>
      </c>
      <c r="F16" s="52" t="s">
        <v>183</v>
      </c>
      <c r="G16" s="54" t="s">
        <v>196</v>
      </c>
      <c r="H16" s="52" t="s">
        <v>183</v>
      </c>
      <c r="I16" s="55" t="s">
        <v>197</v>
      </c>
      <c r="J16" s="53"/>
      <c r="K16" s="53"/>
    </row>
    <row r="17" customFormat="false" ht="24" hidden="false" customHeight="true" outlineLevel="0" collapsed="false">
      <c r="A17" s="48" t="s">
        <v>201</v>
      </c>
      <c r="B17" s="49" t="s">
        <v>183</v>
      </c>
      <c r="C17" s="49" t="s">
        <v>183</v>
      </c>
      <c r="D17" s="49" t="s">
        <v>183</v>
      </c>
      <c r="E17" s="49" t="s">
        <v>183</v>
      </c>
      <c r="F17" s="49" t="s">
        <v>183</v>
      </c>
      <c r="G17" s="54" t="s">
        <v>196</v>
      </c>
      <c r="H17" s="49" t="s">
        <v>183</v>
      </c>
      <c r="I17" s="55" t="s">
        <v>197</v>
      </c>
      <c r="J17" s="50"/>
      <c r="K17" s="50"/>
    </row>
    <row r="19" customFormat="false" ht="42" hidden="false" customHeight="true" outlineLevel="0" collapsed="false">
      <c r="A19" s="56" t="s">
        <v>202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</row>
  </sheetData>
  <mergeCells count="2">
    <mergeCell ref="A1:K1"/>
    <mergeCell ref="A19:K19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34"/>
  </cols>
  <sheetData>
    <row r="1" customFormat="false" ht="31.5" hidden="false" customHeight="true" outlineLevel="0" collapsed="false">
      <c r="A1" s="57" t="s">
        <v>203</v>
      </c>
      <c r="B1" s="57"/>
      <c r="C1" s="57"/>
      <c r="D1" s="57"/>
      <c r="E1" s="57"/>
      <c r="F1" s="57"/>
      <c r="G1" s="57"/>
      <c r="H1" s="57"/>
      <c r="I1" s="57"/>
    </row>
    <row r="2" customFormat="false" ht="15" hidden="false" customHeight="false" outlineLevel="0" collapsed="false">
      <c r="A2" s="58" t="s">
        <v>4</v>
      </c>
      <c r="B2" s="58" t="s">
        <v>204</v>
      </c>
      <c r="C2" s="58" t="s">
        <v>205</v>
      </c>
      <c r="D2" s="58" t="s">
        <v>206</v>
      </c>
      <c r="E2" s="58" t="s">
        <v>207</v>
      </c>
      <c r="F2" s="58" t="s">
        <v>208</v>
      </c>
      <c r="G2" s="58" t="s">
        <v>209</v>
      </c>
      <c r="H2" s="58" t="s">
        <v>210</v>
      </c>
      <c r="I2" s="58" t="s">
        <v>211</v>
      </c>
    </row>
    <row r="3" customFormat="false" ht="36" hidden="false" customHeight="true" outlineLevel="0" collapsed="false">
      <c r="A3" s="59" t="s">
        <v>212</v>
      </c>
      <c r="B3" s="60" t="s">
        <v>213</v>
      </c>
      <c r="C3" s="60"/>
      <c r="D3" s="60"/>
      <c r="E3" s="59"/>
      <c r="F3" s="59"/>
      <c r="G3" s="59"/>
      <c r="H3" s="59"/>
      <c r="I3" s="60"/>
    </row>
    <row r="4" customFormat="false" ht="36" hidden="false" customHeight="true" outlineLevel="0" collapsed="false">
      <c r="A4" s="9" t="n">
        <v>1</v>
      </c>
      <c r="B4" s="7" t="s">
        <v>214</v>
      </c>
      <c r="C4" s="7" t="s">
        <v>215</v>
      </c>
      <c r="D4" s="26" t="s">
        <v>216</v>
      </c>
      <c r="E4" s="9" t="s">
        <v>217</v>
      </c>
      <c r="F4" s="9" t="n">
        <v>1</v>
      </c>
      <c r="G4" s="9" t="s">
        <v>30</v>
      </c>
      <c r="H4" s="9" t="s">
        <v>218</v>
      </c>
      <c r="I4" s="7"/>
    </row>
    <row r="5" customFormat="false" ht="36" hidden="false" customHeight="true" outlineLevel="0" collapsed="false">
      <c r="A5" s="9" t="n">
        <v>2</v>
      </c>
      <c r="B5" s="7" t="s">
        <v>219</v>
      </c>
      <c r="C5" s="26" t="s">
        <v>220</v>
      </c>
      <c r="D5" s="7" t="s">
        <v>221</v>
      </c>
      <c r="E5" s="9" t="s">
        <v>217</v>
      </c>
      <c r="F5" s="9" t="n">
        <v>1</v>
      </c>
      <c r="G5" s="9" t="s">
        <v>30</v>
      </c>
      <c r="H5" s="9" t="s">
        <v>218</v>
      </c>
      <c r="I5" s="7"/>
    </row>
    <row r="6" customFormat="false" ht="36" hidden="false" customHeight="true" outlineLevel="0" collapsed="false">
      <c r="A6" s="9" t="n">
        <v>3</v>
      </c>
      <c r="B6" s="7" t="s">
        <v>222</v>
      </c>
      <c r="C6" s="26" t="s">
        <v>223</v>
      </c>
      <c r="D6" s="7" t="s">
        <v>224</v>
      </c>
      <c r="E6" s="9" t="s">
        <v>225</v>
      </c>
      <c r="F6" s="9" t="n">
        <v>1</v>
      </c>
      <c r="G6" s="9" t="s">
        <v>30</v>
      </c>
      <c r="H6" s="9" t="s">
        <v>218</v>
      </c>
      <c r="I6" s="7"/>
    </row>
    <row r="7" customFormat="false" ht="36" hidden="false" customHeight="true" outlineLevel="0" collapsed="false">
      <c r="A7" s="9" t="n">
        <v>4</v>
      </c>
      <c r="B7" s="7" t="s">
        <v>226</v>
      </c>
      <c r="C7" s="26" t="s">
        <v>227</v>
      </c>
      <c r="D7" s="7" t="s">
        <v>224</v>
      </c>
      <c r="E7" s="9" t="s">
        <v>225</v>
      </c>
      <c r="F7" s="9" t="n">
        <v>1</v>
      </c>
      <c r="G7" s="9" t="s">
        <v>30</v>
      </c>
      <c r="H7" s="9" t="s">
        <v>218</v>
      </c>
      <c r="I7" s="7"/>
    </row>
    <row r="8" customFormat="false" ht="36" hidden="false" customHeight="true" outlineLevel="0" collapsed="false">
      <c r="A8" s="9" t="n">
        <v>5</v>
      </c>
      <c r="B8" s="7" t="s">
        <v>228</v>
      </c>
      <c r="C8" s="26" t="s">
        <v>229</v>
      </c>
      <c r="D8" s="7" t="s">
        <v>230</v>
      </c>
      <c r="E8" s="9" t="s">
        <v>217</v>
      </c>
      <c r="F8" s="9" t="n">
        <v>1</v>
      </c>
      <c r="G8" s="9" t="s">
        <v>30</v>
      </c>
      <c r="H8" s="9" t="s">
        <v>218</v>
      </c>
      <c r="I8" s="7"/>
    </row>
    <row r="9" customFormat="false" ht="36" hidden="false" customHeight="true" outlineLevel="0" collapsed="false">
      <c r="A9" s="9" t="n">
        <v>6</v>
      </c>
      <c r="B9" s="7" t="s">
        <v>231</v>
      </c>
      <c r="C9" s="26" t="s">
        <v>232</v>
      </c>
      <c r="D9" s="7" t="s">
        <v>233</v>
      </c>
      <c r="E9" s="9" t="s">
        <v>217</v>
      </c>
      <c r="F9" s="9" t="n">
        <v>1</v>
      </c>
      <c r="G9" s="9" t="s">
        <v>234</v>
      </c>
      <c r="H9" s="9" t="s">
        <v>218</v>
      </c>
      <c r="I9" s="7" t="s">
        <v>235</v>
      </c>
    </row>
    <row r="10" customFormat="false" ht="36" hidden="false" customHeight="true" outlineLevel="0" collapsed="false">
      <c r="A10" s="9" t="n">
        <v>7</v>
      </c>
      <c r="B10" s="26" t="s">
        <v>236</v>
      </c>
      <c r="C10" s="26" t="s">
        <v>237</v>
      </c>
      <c r="D10" s="26" t="s">
        <v>238</v>
      </c>
      <c r="E10" s="9" t="s">
        <v>217</v>
      </c>
      <c r="F10" s="9" t="n">
        <v>1</v>
      </c>
      <c r="G10" s="9" t="s">
        <v>30</v>
      </c>
      <c r="H10" s="9" t="s">
        <v>218</v>
      </c>
      <c r="I10" s="7"/>
    </row>
    <row r="11" customFormat="false" ht="36" hidden="false" customHeight="true" outlineLevel="0" collapsed="false">
      <c r="A11" s="59" t="s">
        <v>239</v>
      </c>
      <c r="B11" s="60" t="s">
        <v>240</v>
      </c>
      <c r="C11" s="60"/>
      <c r="D11" s="60"/>
      <c r="E11" s="59"/>
      <c r="F11" s="59"/>
      <c r="G11" s="59"/>
      <c r="H11" s="59"/>
      <c r="I11" s="60"/>
    </row>
    <row r="12" customFormat="false" ht="36" hidden="false" customHeight="true" outlineLevel="0" collapsed="false">
      <c r="A12" s="9" t="n">
        <v>1</v>
      </c>
      <c r="B12" s="7" t="s">
        <v>241</v>
      </c>
      <c r="C12" s="7"/>
      <c r="D12" s="7"/>
      <c r="E12" s="9"/>
      <c r="F12" s="9"/>
      <c r="G12" s="9"/>
      <c r="H12" s="9"/>
      <c r="I12" s="7"/>
    </row>
    <row r="13" customFormat="false" ht="36" hidden="false" customHeight="true" outlineLevel="0" collapsed="false">
      <c r="A13" s="9" t="n">
        <v>1.1</v>
      </c>
      <c r="B13" s="7" t="s">
        <v>242</v>
      </c>
      <c r="C13" s="26" t="s">
        <v>243</v>
      </c>
      <c r="D13" s="7" t="s">
        <v>244</v>
      </c>
      <c r="E13" s="9" t="s">
        <v>217</v>
      </c>
      <c r="F13" s="9" t="n">
        <v>15</v>
      </c>
      <c r="G13" s="9" t="s">
        <v>234</v>
      </c>
      <c r="H13" s="61" t="s">
        <v>245</v>
      </c>
      <c r="I13" s="7" t="s">
        <v>246</v>
      </c>
    </row>
    <row r="14" customFormat="false" ht="36" hidden="false" customHeight="true" outlineLevel="0" collapsed="false">
      <c r="A14" s="9" t="n">
        <v>2</v>
      </c>
      <c r="B14" s="7" t="s">
        <v>247</v>
      </c>
      <c r="C14" s="26" t="s">
        <v>248</v>
      </c>
      <c r="D14" s="7" t="s">
        <v>249</v>
      </c>
      <c r="E14" s="9" t="s">
        <v>217</v>
      </c>
      <c r="F14" s="9" t="n">
        <v>15</v>
      </c>
      <c r="G14" s="9" t="s">
        <v>234</v>
      </c>
      <c r="H14" s="62" t="s">
        <v>250</v>
      </c>
      <c r="I14" s="7" t="s">
        <v>251</v>
      </c>
    </row>
    <row r="15" customFormat="false" ht="36" hidden="false" customHeight="true" outlineLevel="0" collapsed="false">
      <c r="A15" s="9" t="n">
        <v>4</v>
      </c>
      <c r="B15" s="7" t="s">
        <v>252</v>
      </c>
      <c r="C15" s="26" t="s">
        <v>253</v>
      </c>
      <c r="D15" s="7" t="s">
        <v>254</v>
      </c>
      <c r="E15" s="9" t="s">
        <v>217</v>
      </c>
      <c r="F15" s="9" t="n">
        <v>1</v>
      </c>
      <c r="G15" s="9" t="s">
        <v>234</v>
      </c>
      <c r="H15" s="9" t="s">
        <v>218</v>
      </c>
      <c r="I15" s="7"/>
    </row>
    <row r="16" customFormat="false" ht="36" hidden="false" customHeight="true" outlineLevel="0" collapsed="false">
      <c r="A16" s="9" t="n">
        <v>5</v>
      </c>
      <c r="B16" s="7" t="s">
        <v>255</v>
      </c>
      <c r="C16" s="7" t="s">
        <v>256</v>
      </c>
      <c r="D16" s="7"/>
      <c r="E16" s="9" t="s">
        <v>217</v>
      </c>
      <c r="F16" s="9" t="n">
        <v>15</v>
      </c>
      <c r="G16" s="9" t="s">
        <v>234</v>
      </c>
      <c r="H16" s="9" t="s">
        <v>218</v>
      </c>
      <c r="I16" s="7"/>
    </row>
    <row r="17" customFormat="false" ht="36" hidden="false" customHeight="true" outlineLevel="0" collapsed="false">
      <c r="A17" s="9" t="n">
        <v>6</v>
      </c>
      <c r="B17" s="7" t="s">
        <v>257</v>
      </c>
      <c r="C17" s="7" t="s">
        <v>258</v>
      </c>
      <c r="D17" s="7"/>
      <c r="E17" s="9" t="s">
        <v>225</v>
      </c>
      <c r="F17" s="9" t="n">
        <v>15</v>
      </c>
      <c r="G17" s="9" t="s">
        <v>234</v>
      </c>
      <c r="H17" s="9" t="s">
        <v>218</v>
      </c>
      <c r="I17" s="7"/>
    </row>
    <row r="18" customFormat="false" ht="36" hidden="false" customHeight="true" outlineLevel="0" collapsed="false">
      <c r="A18" s="59" t="s">
        <v>259</v>
      </c>
      <c r="B18" s="60" t="s">
        <v>260</v>
      </c>
      <c r="C18" s="60"/>
      <c r="D18" s="60"/>
      <c r="E18" s="59"/>
      <c r="F18" s="59"/>
      <c r="G18" s="59"/>
      <c r="H18" s="59"/>
      <c r="I18" s="60"/>
    </row>
    <row r="19" customFormat="false" ht="36" hidden="false" customHeight="true" outlineLevel="0" collapsed="false">
      <c r="A19" s="9" t="n">
        <v>1</v>
      </c>
      <c r="B19" s="7" t="s">
        <v>261</v>
      </c>
      <c r="C19" s="7" t="s">
        <v>262</v>
      </c>
      <c r="D19" s="7"/>
      <c r="E19" s="9" t="s">
        <v>225</v>
      </c>
      <c r="F19" s="9" t="n">
        <v>1</v>
      </c>
      <c r="G19" s="9" t="s">
        <v>30</v>
      </c>
      <c r="H19" s="6" t="s">
        <v>263</v>
      </c>
      <c r="I19" s="7"/>
    </row>
    <row r="20" customFormat="false" ht="36" hidden="false" customHeight="true" outlineLevel="0" collapsed="false">
      <c r="A20" s="9" t="n">
        <v>2</v>
      </c>
      <c r="B20" s="7" t="s">
        <v>264</v>
      </c>
      <c r="C20" s="7" t="s">
        <v>265</v>
      </c>
      <c r="D20" s="7"/>
      <c r="E20" s="9" t="s">
        <v>225</v>
      </c>
      <c r="F20" s="9" t="n">
        <v>1</v>
      </c>
      <c r="G20" s="9" t="s">
        <v>30</v>
      </c>
      <c r="H20" s="6" t="s">
        <v>263</v>
      </c>
      <c r="I20" s="7" t="s">
        <v>266</v>
      </c>
    </row>
    <row r="21" customFormat="false" ht="36" hidden="false" customHeight="true" outlineLevel="0" collapsed="false">
      <c r="A21" s="9" t="n">
        <v>3</v>
      </c>
      <c r="B21" s="7" t="s">
        <v>267</v>
      </c>
      <c r="C21" s="7" t="s">
        <v>268</v>
      </c>
      <c r="D21" s="7"/>
      <c r="E21" s="9" t="s">
        <v>225</v>
      </c>
      <c r="F21" s="9" t="n">
        <v>1</v>
      </c>
      <c r="G21" s="9" t="s">
        <v>30</v>
      </c>
      <c r="H21" s="6" t="s">
        <v>263</v>
      </c>
      <c r="I21" s="7"/>
    </row>
    <row r="22" customFormat="false" ht="36" hidden="false" customHeight="true" outlineLevel="0" collapsed="false">
      <c r="A22" s="9" t="n">
        <v>4</v>
      </c>
      <c r="B22" s="7" t="s">
        <v>269</v>
      </c>
      <c r="C22" s="7" t="s">
        <v>270</v>
      </c>
      <c r="D22" s="7"/>
      <c r="E22" s="9" t="s">
        <v>225</v>
      </c>
      <c r="F22" s="9" t="n">
        <v>1</v>
      </c>
      <c r="G22" s="9" t="s">
        <v>30</v>
      </c>
      <c r="H22" s="6" t="s">
        <v>263</v>
      </c>
      <c r="I22" s="7"/>
    </row>
    <row r="23" customFormat="false" ht="36" hidden="false" customHeight="true" outlineLevel="0" collapsed="false">
      <c r="A23" s="9" t="n">
        <v>5</v>
      </c>
      <c r="B23" s="7" t="s">
        <v>271</v>
      </c>
      <c r="C23" s="7" t="s">
        <v>272</v>
      </c>
      <c r="D23" s="7"/>
      <c r="E23" s="9" t="s">
        <v>225</v>
      </c>
      <c r="F23" s="9" t="n">
        <v>1</v>
      </c>
      <c r="G23" s="9" t="s">
        <v>30</v>
      </c>
      <c r="H23" s="6" t="s">
        <v>263</v>
      </c>
      <c r="I23" s="7"/>
    </row>
    <row r="24" customFormat="false" ht="36" hidden="false" customHeight="true" outlineLevel="0" collapsed="false">
      <c r="A24" s="9" t="n">
        <v>6</v>
      </c>
      <c r="B24" s="7" t="s">
        <v>273</v>
      </c>
      <c r="C24" s="7" t="s">
        <v>274</v>
      </c>
      <c r="D24" s="7"/>
      <c r="E24" s="9" t="s">
        <v>225</v>
      </c>
      <c r="F24" s="9" t="n">
        <v>1</v>
      </c>
      <c r="G24" s="9" t="s">
        <v>30</v>
      </c>
      <c r="H24" s="6" t="s">
        <v>263</v>
      </c>
      <c r="I24" s="7"/>
    </row>
    <row r="25" customFormat="false" ht="36" hidden="false" customHeight="true" outlineLevel="0" collapsed="false">
      <c r="A25" s="9" t="n">
        <v>7</v>
      </c>
      <c r="B25" s="7" t="s">
        <v>275</v>
      </c>
      <c r="C25" s="7" t="s">
        <v>276</v>
      </c>
      <c r="D25" s="7"/>
      <c r="E25" s="9" t="s">
        <v>225</v>
      </c>
      <c r="F25" s="9" t="n">
        <v>1</v>
      </c>
      <c r="G25" s="9" t="s">
        <v>30</v>
      </c>
      <c r="H25" s="6" t="s">
        <v>263</v>
      </c>
      <c r="I25" s="7"/>
    </row>
    <row r="26" customFormat="false" ht="36" hidden="false" customHeight="true" outlineLevel="0" collapsed="false">
      <c r="A26" s="9" t="n">
        <v>8</v>
      </c>
      <c r="B26" s="7" t="s">
        <v>277</v>
      </c>
      <c r="C26" s="7" t="s">
        <v>278</v>
      </c>
      <c r="D26" s="7"/>
      <c r="E26" s="9" t="s">
        <v>225</v>
      </c>
      <c r="F26" s="9" t="n">
        <v>1</v>
      </c>
      <c r="G26" s="9" t="s">
        <v>30</v>
      </c>
      <c r="H26" s="6" t="s">
        <v>263</v>
      </c>
      <c r="I26" s="7"/>
    </row>
    <row r="27" customFormat="false" ht="36" hidden="false" customHeight="true" outlineLevel="0" collapsed="false">
      <c r="A27" s="9" t="n">
        <v>9</v>
      </c>
      <c r="B27" s="7" t="s">
        <v>279</v>
      </c>
      <c r="C27" s="7"/>
      <c r="D27" s="7"/>
      <c r="E27" s="9" t="s">
        <v>225</v>
      </c>
      <c r="F27" s="9" t="n">
        <v>1</v>
      </c>
      <c r="G27" s="9" t="s">
        <v>30</v>
      </c>
      <c r="H27" s="6" t="s">
        <v>263</v>
      </c>
      <c r="I27" s="7"/>
    </row>
    <row r="28" customFormat="false" ht="36" hidden="false" customHeight="true" outlineLevel="0" collapsed="false">
      <c r="A28" s="9" t="n">
        <v>9.1</v>
      </c>
      <c r="B28" s="7" t="s">
        <v>280</v>
      </c>
      <c r="C28" s="7" t="s">
        <v>281</v>
      </c>
      <c r="D28" s="7"/>
      <c r="E28" s="9" t="s">
        <v>225</v>
      </c>
      <c r="F28" s="9" t="n">
        <v>5</v>
      </c>
      <c r="G28" s="9" t="s">
        <v>30</v>
      </c>
      <c r="H28" s="6" t="s">
        <v>263</v>
      </c>
      <c r="I28" s="26" t="s">
        <v>282</v>
      </c>
    </row>
    <row r="29" customFormat="false" ht="36" hidden="false" customHeight="true" outlineLevel="0" collapsed="false">
      <c r="A29" s="9" t="n">
        <v>9.2</v>
      </c>
      <c r="B29" s="7" t="s">
        <v>283</v>
      </c>
      <c r="C29" s="26" t="s">
        <v>284</v>
      </c>
      <c r="D29" s="7"/>
      <c r="E29" s="9" t="s">
        <v>225</v>
      </c>
      <c r="F29" s="9" t="n">
        <v>1</v>
      </c>
      <c r="G29" s="9" t="s">
        <v>30</v>
      </c>
      <c r="H29" s="6" t="s">
        <v>263</v>
      </c>
      <c r="I29" s="26" t="s">
        <v>285</v>
      </c>
    </row>
    <row r="30" customFormat="false" ht="36" hidden="false" customHeight="true" outlineLevel="0" collapsed="false">
      <c r="A30" s="9" t="n">
        <v>9.3</v>
      </c>
      <c r="B30" s="7" t="s">
        <v>286</v>
      </c>
      <c r="C30" s="7" t="s">
        <v>287</v>
      </c>
      <c r="D30" s="7"/>
      <c r="E30" s="9" t="s">
        <v>225</v>
      </c>
      <c r="F30" s="9" t="n">
        <v>1</v>
      </c>
      <c r="G30" s="9" t="s">
        <v>30</v>
      </c>
      <c r="H30" s="6" t="s">
        <v>263</v>
      </c>
      <c r="I30" s="7"/>
    </row>
    <row r="31" customFormat="false" ht="36" hidden="false" customHeight="true" outlineLevel="0" collapsed="false">
      <c r="A31" s="9" t="n">
        <v>9.4</v>
      </c>
      <c r="B31" s="7" t="s">
        <v>288</v>
      </c>
      <c r="C31" s="7" t="s">
        <v>289</v>
      </c>
      <c r="D31" s="7"/>
      <c r="E31" s="9" t="s">
        <v>225</v>
      </c>
      <c r="F31" s="9" t="n">
        <v>2</v>
      </c>
      <c r="G31" s="9" t="s">
        <v>30</v>
      </c>
      <c r="H31" s="6" t="s">
        <v>263</v>
      </c>
      <c r="I31" s="7"/>
    </row>
  </sheetData>
  <mergeCells count="1">
    <mergeCell ref="A1:I1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78"/>
  </cols>
  <sheetData>
    <row r="1" customFormat="false" ht="37.5" hidden="false" customHeight="true" outlineLevel="0" collapsed="false">
      <c r="A1" s="30" t="s">
        <v>290</v>
      </c>
      <c r="B1" s="30"/>
      <c r="C1" s="30"/>
    </row>
    <row r="3" customFormat="false" ht="15" hidden="false" customHeight="false" outlineLevel="0" collapsed="false">
      <c r="A3" s="63" t="s">
        <v>291</v>
      </c>
    </row>
    <row r="4" customFormat="false" ht="15" hidden="false" customHeight="false" outlineLevel="0" collapsed="false">
      <c r="A4" s="64" t="s">
        <v>292</v>
      </c>
      <c r="B4" s="64" t="s">
        <v>293</v>
      </c>
      <c r="C4" s="64" t="s">
        <v>294</v>
      </c>
    </row>
    <row r="5" customFormat="false" ht="15" hidden="false" customHeight="false" outlineLevel="0" collapsed="false">
      <c r="A5" s="65" t="s">
        <v>295</v>
      </c>
      <c r="B5" s="66" t="n">
        <v>46328</v>
      </c>
      <c r="C5" s="65" t="s">
        <v>296</v>
      </c>
    </row>
    <row r="6" customFormat="false" ht="15" hidden="false" customHeight="false" outlineLevel="0" collapsed="false">
      <c r="A6" s="65" t="s">
        <v>297</v>
      </c>
      <c r="B6" s="65" t="n">
        <f aca="false">MAX(计划!F5:F39)-MIN(计划!E5:E39)+1</f>
        <v>38</v>
      </c>
      <c r="C6" s="65" t="s">
        <v>298</v>
      </c>
    </row>
    <row r="7" customFormat="false" ht="15" hidden="false" customHeight="false" outlineLevel="0" collapsed="false">
      <c r="A7" s="65" t="s">
        <v>299</v>
      </c>
      <c r="B7" s="65" t="n">
        <v>90</v>
      </c>
      <c r="C7" s="65" t="s">
        <v>300</v>
      </c>
    </row>
    <row r="8" customFormat="false" ht="15" hidden="false" customHeight="false" outlineLevel="0" collapsed="false">
      <c r="A8" s="65" t="s">
        <v>301</v>
      </c>
      <c r="B8" s="67" t="s">
        <v>302</v>
      </c>
      <c r="C8" s="65" t="s">
        <v>303</v>
      </c>
    </row>
    <row r="10" customFormat="false" ht="15" hidden="false" customHeight="false" outlineLevel="0" collapsed="false">
      <c r="A10" s="63" t="s">
        <v>304</v>
      </c>
    </row>
    <row r="11" customFormat="false" ht="15" hidden="false" customHeight="false" outlineLevel="0" collapsed="false">
      <c r="A11" s="58" t="s">
        <v>305</v>
      </c>
      <c r="B11" s="58" t="s">
        <v>306</v>
      </c>
      <c r="C11" s="58" t="s">
        <v>307</v>
      </c>
    </row>
    <row r="12" customFormat="false" ht="15" hidden="false" customHeight="false" outlineLevel="0" collapsed="false">
      <c r="A12" s="65" t="s">
        <v>308</v>
      </c>
      <c r="B12" s="68" t="n">
        <f aca="false">计划!F5</f>
        <v>46329</v>
      </c>
      <c r="C12" s="65" t="s">
        <v>309</v>
      </c>
    </row>
    <row r="13" customFormat="false" ht="15" hidden="false" customHeight="false" outlineLevel="0" collapsed="false">
      <c r="A13" s="65" t="s">
        <v>310</v>
      </c>
      <c r="B13" s="68" t="n">
        <f aca="false">计划!F7</f>
        <v>46332</v>
      </c>
      <c r="C13" s="65" t="s">
        <v>311</v>
      </c>
    </row>
    <row r="14" customFormat="false" ht="15" hidden="false" customHeight="false" outlineLevel="0" collapsed="false">
      <c r="A14" s="67" t="s">
        <v>312</v>
      </c>
      <c r="B14" s="68" t="n">
        <f aca="false">计划!F15</f>
        <v>46341</v>
      </c>
      <c r="C14" s="67" t="s">
        <v>313</v>
      </c>
    </row>
    <row r="15" customFormat="false" ht="15" hidden="false" customHeight="false" outlineLevel="0" collapsed="false">
      <c r="A15" s="67" t="s">
        <v>314</v>
      </c>
      <c r="B15" s="68" t="n">
        <f aca="false">计划!F19</f>
        <v>46349</v>
      </c>
      <c r="C15" s="65" t="s">
        <v>315</v>
      </c>
    </row>
    <row r="16" customFormat="false" ht="15" hidden="false" customHeight="false" outlineLevel="0" collapsed="false">
      <c r="A16" s="65" t="s">
        <v>316</v>
      </c>
      <c r="B16" s="68" t="n">
        <f aca="false">计划!F30</f>
        <v>46357</v>
      </c>
      <c r="C16" s="65" t="s">
        <v>317</v>
      </c>
    </row>
    <row r="17" customFormat="false" ht="15" hidden="false" customHeight="false" outlineLevel="0" collapsed="false">
      <c r="A17" s="65" t="s">
        <v>318</v>
      </c>
      <c r="B17" s="68" t="n">
        <f aca="false">计划!F34</f>
        <v>46362</v>
      </c>
      <c r="C17" s="65" t="s">
        <v>319</v>
      </c>
    </row>
    <row r="18" customFormat="false" ht="15" hidden="false" customHeight="false" outlineLevel="0" collapsed="false">
      <c r="A18" s="65" t="s">
        <v>320</v>
      </c>
      <c r="B18" s="68" t="n">
        <f aca="false">计划!F39</f>
        <v>46365</v>
      </c>
      <c r="C18" s="65" t="s">
        <v>321</v>
      </c>
    </row>
    <row r="19" customFormat="false" ht="15" hidden="false" customHeight="false" outlineLevel="0" collapsed="false">
      <c r="A19" s="65" t="s">
        <v>322</v>
      </c>
      <c r="B19" s="68" t="n">
        <f aca="false">计划!F42</f>
        <v>46456</v>
      </c>
      <c r="C19" s="65" t="s">
        <v>323</v>
      </c>
    </row>
    <row r="21" customFormat="false" ht="15" hidden="false" customHeight="false" outlineLevel="0" collapsed="false">
      <c r="A21" s="63" t="s">
        <v>324</v>
      </c>
    </row>
    <row r="22" customFormat="false" ht="15" hidden="false" customHeight="false" outlineLevel="0" collapsed="false">
      <c r="A22" s="58" t="s">
        <v>4</v>
      </c>
      <c r="B22" s="58" t="s">
        <v>325</v>
      </c>
      <c r="C22" s="58" t="s">
        <v>326</v>
      </c>
    </row>
    <row r="23" customFormat="false" ht="39.75" hidden="false" customHeight="true" outlineLevel="0" collapsed="false">
      <c r="A23" s="69" t="n">
        <v>1</v>
      </c>
      <c r="B23" s="70" t="s">
        <v>327</v>
      </c>
      <c r="C23" s="70" t="s">
        <v>328</v>
      </c>
    </row>
    <row r="24" customFormat="false" ht="39.75" hidden="false" customHeight="true" outlineLevel="0" collapsed="false">
      <c r="A24" s="70" t="n">
        <v>2</v>
      </c>
      <c r="B24" s="70" t="s">
        <v>329</v>
      </c>
      <c r="C24" s="70" t="s">
        <v>330</v>
      </c>
    </row>
    <row r="25" customFormat="false" ht="39.75" hidden="false" customHeight="true" outlineLevel="0" collapsed="false">
      <c r="A25" s="70" t="n">
        <v>3</v>
      </c>
      <c r="B25" s="70" t="s">
        <v>331</v>
      </c>
      <c r="C25" s="70" t="s">
        <v>332</v>
      </c>
    </row>
    <row r="26" customFormat="false" ht="39.75" hidden="false" customHeight="true" outlineLevel="0" collapsed="false">
      <c r="A26" s="70" t="n">
        <v>4</v>
      </c>
      <c r="B26" s="70" t="s">
        <v>333</v>
      </c>
      <c r="C26" s="70" t="s">
        <v>334</v>
      </c>
    </row>
    <row r="27" customFormat="false" ht="39.75" hidden="false" customHeight="true" outlineLevel="0" collapsed="false">
      <c r="A27" s="70" t="n">
        <v>5</v>
      </c>
      <c r="B27" s="70" t="s">
        <v>335</v>
      </c>
      <c r="C27" s="70" t="s">
        <v>336</v>
      </c>
    </row>
    <row r="28" customFormat="false" ht="39.75" hidden="false" customHeight="true" outlineLevel="0" collapsed="false">
      <c r="A28" s="70" t="n">
        <v>6</v>
      </c>
      <c r="B28" s="70" t="s">
        <v>337</v>
      </c>
      <c r="C28" s="70" t="s">
        <v>338</v>
      </c>
    </row>
    <row r="29" customFormat="false" ht="39.75" hidden="false" customHeight="true" outlineLevel="0" collapsed="false">
      <c r="A29" s="70" t="n">
        <v>7</v>
      </c>
      <c r="B29" s="70" t="s">
        <v>339</v>
      </c>
      <c r="C29" s="70" t="s">
        <v>340</v>
      </c>
    </row>
    <row r="30" customFormat="false" ht="39.75" hidden="false" customHeight="true" outlineLevel="0" collapsed="false">
      <c r="A30" s="70" t="n">
        <v>8</v>
      </c>
      <c r="B30" s="70" t="s">
        <v>341</v>
      </c>
      <c r="C30" s="70" t="s">
        <v>342</v>
      </c>
    </row>
    <row r="31" customFormat="false" ht="39.75" hidden="false" customHeight="true" outlineLevel="0" collapsed="false">
      <c r="A31" s="70" t="n">
        <v>9</v>
      </c>
      <c r="B31" s="70" t="s">
        <v>343</v>
      </c>
      <c r="C31" s="70" t="s">
        <v>344</v>
      </c>
    </row>
    <row r="32" customFormat="false" ht="39.75" hidden="false" customHeight="true" outlineLevel="0" collapsed="false">
      <c r="A32" s="70" t="n">
        <v>10</v>
      </c>
      <c r="B32" s="70" t="s">
        <v>345</v>
      </c>
      <c r="C32" s="70" t="s">
        <v>346</v>
      </c>
    </row>
    <row r="33" customFormat="false" ht="39.75" hidden="false" customHeight="true" outlineLevel="0" collapsed="false">
      <c r="A33" s="70" t="n">
        <v>11</v>
      </c>
      <c r="B33" s="70" t="s">
        <v>347</v>
      </c>
      <c r="C33" s="70" t="s">
        <v>348</v>
      </c>
    </row>
    <row r="34" customFormat="false" ht="39.75" hidden="false" customHeight="true" outlineLevel="0" collapsed="false">
      <c r="A34" s="70" t="n">
        <v>12</v>
      </c>
      <c r="B34" s="70" t="s">
        <v>349</v>
      </c>
      <c r="C34" s="70" t="s">
        <v>350</v>
      </c>
    </row>
    <row r="35" customFormat="false" ht="39.75" hidden="false" customHeight="true" outlineLevel="0" collapsed="false">
      <c r="A35" s="70" t="n">
        <v>13</v>
      </c>
      <c r="B35" s="70" t="s">
        <v>351</v>
      </c>
      <c r="C35" s="70" t="s">
        <v>352</v>
      </c>
    </row>
    <row r="36" customFormat="false" ht="39.75" hidden="false" customHeight="true" outlineLevel="0" collapsed="false">
      <c r="A36" s="70" t="n">
        <v>14</v>
      </c>
      <c r="B36" s="70" t="s">
        <v>353</v>
      </c>
      <c r="C36" s="70" t="s">
        <v>354</v>
      </c>
    </row>
    <row r="37" customFormat="false" ht="39.75" hidden="false" customHeight="true" outlineLevel="0" collapsed="false">
      <c r="A37" s="70" t="n">
        <v>15</v>
      </c>
      <c r="B37" s="70" t="s">
        <v>355</v>
      </c>
      <c r="C37" s="70" t="s">
        <v>356</v>
      </c>
    </row>
    <row r="38" customFormat="false" ht="39.75" hidden="false" customHeight="true" outlineLevel="0" collapsed="false">
      <c r="A38" s="70" t="n">
        <v>16</v>
      </c>
      <c r="B38" s="70" t="s">
        <v>357</v>
      </c>
      <c r="C38" s="70" t="s">
        <v>358</v>
      </c>
    </row>
    <row r="39" customFormat="false" ht="39.75" hidden="false" customHeight="true" outlineLevel="0" collapsed="false">
      <c r="A39" s="70" t="n">
        <v>17</v>
      </c>
      <c r="B39" s="70" t="s">
        <v>359</v>
      </c>
      <c r="C39" s="70" t="s">
        <v>360</v>
      </c>
    </row>
    <row r="40" customFormat="false" ht="39.75" hidden="false" customHeight="true" outlineLevel="0" collapsed="false">
      <c r="A40" s="70" t="n">
        <v>18</v>
      </c>
      <c r="B40" s="70" t="s">
        <v>361</v>
      </c>
      <c r="C40" s="70" t="s">
        <v>362</v>
      </c>
    </row>
    <row r="42" customFormat="false" ht="15" hidden="false" customHeight="false" outlineLevel="0" collapsed="false">
      <c r="A42" s="63" t="s">
        <v>363</v>
      </c>
    </row>
    <row r="43" customFormat="false" ht="21.75" hidden="false" customHeight="true" outlineLevel="0" collapsed="false">
      <c r="A43" s="71" t="s">
        <v>364</v>
      </c>
      <c r="B43" s="71"/>
      <c r="C43" s="71"/>
    </row>
    <row r="44" customFormat="false" ht="21.75" hidden="false" customHeight="true" outlineLevel="0" collapsed="false">
      <c r="A44" s="71" t="s">
        <v>365</v>
      </c>
      <c r="B44" s="71"/>
      <c r="C44" s="71"/>
    </row>
    <row r="45" customFormat="false" ht="21.75" hidden="false" customHeight="true" outlineLevel="0" collapsed="false">
      <c r="A45" s="71" t="s">
        <v>366</v>
      </c>
      <c r="B45" s="71"/>
      <c r="C45" s="71"/>
    </row>
    <row r="46" customFormat="false" ht="21.75" hidden="false" customHeight="true" outlineLevel="0" collapsed="false">
      <c r="A46" s="71" t="s">
        <v>367</v>
      </c>
      <c r="B46" s="71"/>
      <c r="C46" s="71"/>
    </row>
    <row r="47" customFormat="false" ht="21.75" hidden="false" customHeight="true" outlineLevel="0" collapsed="false">
      <c r="A47" s="71" t="s">
        <v>368</v>
      </c>
      <c r="B47" s="71"/>
      <c r="C47" s="71"/>
    </row>
    <row r="48" customFormat="false" ht="21.75" hidden="false" customHeight="true" outlineLevel="0" collapsed="false">
      <c r="A48" s="71" t="s">
        <v>369</v>
      </c>
      <c r="B48" s="71"/>
      <c r="C48" s="71"/>
    </row>
    <row r="49" customFormat="false" ht="21.75" hidden="false" customHeight="true" outlineLevel="0" collapsed="false">
      <c r="A49" s="71" t="s">
        <v>370</v>
      </c>
      <c r="B49" s="71"/>
      <c r="C49" s="71"/>
    </row>
    <row r="51" customFormat="false" ht="15" hidden="false" customHeight="false" outlineLevel="0" collapsed="false">
      <c r="A51" s="63" t="s">
        <v>371</v>
      </c>
    </row>
    <row r="52" customFormat="false" ht="19.5" hidden="false" customHeight="true" outlineLevel="0" collapsed="false">
      <c r="A52" s="72"/>
      <c r="B52" s="65" t="s">
        <v>14</v>
      </c>
      <c r="C52" s="73" t="s">
        <v>372</v>
      </c>
    </row>
    <row r="53" customFormat="false" ht="19.5" hidden="false" customHeight="true" outlineLevel="0" collapsed="false">
      <c r="A53" s="74"/>
      <c r="B53" s="65" t="s">
        <v>21</v>
      </c>
      <c r="C53" s="73" t="s">
        <v>373</v>
      </c>
    </row>
    <row r="54" customFormat="false" ht="19.5" hidden="false" customHeight="true" outlineLevel="0" collapsed="false">
      <c r="A54" s="75"/>
      <c r="B54" s="67" t="s">
        <v>374</v>
      </c>
      <c r="C54" s="73" t="s">
        <v>375</v>
      </c>
    </row>
    <row r="55" customFormat="false" ht="19.5" hidden="false" customHeight="true" outlineLevel="0" collapsed="false">
      <c r="A55" s="76"/>
      <c r="B55" s="65" t="s">
        <v>72</v>
      </c>
      <c r="C55" s="73" t="s">
        <v>376</v>
      </c>
    </row>
    <row r="56" customFormat="false" ht="19.5" hidden="false" customHeight="true" outlineLevel="0" collapsed="false">
      <c r="A56" s="77"/>
      <c r="B56" s="65" t="s">
        <v>102</v>
      </c>
      <c r="C56" s="78" t="s">
        <v>377</v>
      </c>
    </row>
    <row r="57" customFormat="false" ht="19.5" hidden="false" customHeight="true" outlineLevel="0" collapsed="false">
      <c r="A57" s="79"/>
      <c r="B57" s="65" t="s">
        <v>126</v>
      </c>
      <c r="C57" s="73" t="s">
        <v>378</v>
      </c>
    </row>
  </sheetData>
  <mergeCells count="8">
    <mergeCell ref="A1:C1"/>
    <mergeCell ref="A43:C43"/>
    <mergeCell ref="A44:C44"/>
    <mergeCell ref="A45:C45"/>
    <mergeCell ref="A46:C46"/>
    <mergeCell ref="A47:C47"/>
    <mergeCell ref="A48:C48"/>
    <mergeCell ref="A49:C49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2026-10-27T06:13:53Z</dcterms:created>
  <dc:creator>openpyxl</dc:creator>
  <dc:description/>
  <dc:language>en-US</dc:language>
  <cp:lastModifiedBy/>
  <dcterms:modified xsi:type="dcterms:W3CDTF">2026-10-27T06:13:53Z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